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xig\Downloads\"/>
    </mc:Choice>
  </mc:AlternateContent>
  <xr:revisionPtr revIDLastSave="0" documentId="13_ncr:1_{63613AF2-5FB4-443F-A1BC-00BBE2D2F96E}" xr6:coauthVersionLast="47" xr6:coauthVersionMax="47" xr10:uidLastSave="{00000000-0000-0000-0000-000000000000}"/>
  <bookViews>
    <workbookView xWindow="-120" yWindow="-120" windowWidth="29040" windowHeight="15840" tabRatio="500" firstSheet="3" activeTab="6" xr2:uid="{00000000-000D-0000-FFFF-FFFF00000000}"/>
  </bookViews>
  <sheets>
    <sheet name="Cover" sheetId="1" r:id="rId1"/>
    <sheet name="Assumptions" sheetId="2" r:id="rId2"/>
    <sheet name="Revenue" sheetId="3" r:id="rId3"/>
    <sheet name="COGS" sheetId="4" r:id="rId4"/>
    <sheet name="OpEx" sheetId="5" r:id="rId5"/>
    <sheet name="NWC" sheetId="6" r:id="rId6"/>
    <sheet name="CapEx_DA" sheetId="7" r:id="rId7"/>
    <sheet name="Debt" sheetId="8" r:id="rId8"/>
    <sheet name="IS" sheetId="9" r:id="rId9"/>
    <sheet name="BS" sheetId="10" r:id="rId10"/>
    <sheet name="CFS"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34" i="2" l="1"/>
  <c r="D34" i="2"/>
  <c r="B34" i="2"/>
  <c r="D30" i="2"/>
  <c r="E27" i="11"/>
  <c r="D25" i="11"/>
  <c r="C25" i="11"/>
  <c r="B25" i="11"/>
  <c r="I23" i="11"/>
  <c r="H23" i="11"/>
  <c r="G23" i="11"/>
  <c r="F23" i="11"/>
  <c r="E23" i="11"/>
  <c r="I22" i="11"/>
  <c r="H22" i="11"/>
  <c r="G22" i="11"/>
  <c r="F22" i="11"/>
  <c r="E22" i="11"/>
  <c r="I21" i="11"/>
  <c r="H21" i="11"/>
  <c r="G21" i="11"/>
  <c r="F21" i="11"/>
  <c r="E21" i="11"/>
  <c r="D17" i="11"/>
  <c r="C17" i="11"/>
  <c r="B17" i="11"/>
  <c r="D12" i="11"/>
  <c r="D28" i="11" s="1"/>
  <c r="D29" i="11" s="1"/>
  <c r="C12" i="11"/>
  <c r="C28" i="11" s="1"/>
  <c r="C29" i="11" s="1"/>
  <c r="B12" i="11"/>
  <c r="B28" i="11" s="1"/>
  <c r="B29" i="11" s="1"/>
  <c r="D43" i="10"/>
  <c r="C43" i="10"/>
  <c r="B43" i="10"/>
  <c r="F42" i="10"/>
  <c r="G42" i="10" s="1"/>
  <c r="H42" i="10" s="1"/>
  <c r="I42" i="10" s="1"/>
  <c r="E42" i="10"/>
  <c r="E41" i="10"/>
  <c r="F41" i="10" s="1"/>
  <c r="G41" i="10" s="1"/>
  <c r="H41" i="10" s="1"/>
  <c r="I41" i="10" s="1"/>
  <c r="E40" i="10"/>
  <c r="F40" i="10" s="1"/>
  <c r="G40" i="10" s="1"/>
  <c r="H40" i="10" s="1"/>
  <c r="I40" i="10" s="1"/>
  <c r="F38" i="10"/>
  <c r="G38" i="10" s="1"/>
  <c r="H38" i="10" s="1"/>
  <c r="I38" i="10" s="1"/>
  <c r="E38" i="10"/>
  <c r="E37" i="10"/>
  <c r="F37" i="10" s="1"/>
  <c r="G37" i="10" s="1"/>
  <c r="H37" i="10" s="1"/>
  <c r="I37" i="10" s="1"/>
  <c r="E36" i="10"/>
  <c r="F36" i="10" s="1"/>
  <c r="E32" i="10"/>
  <c r="F32" i="10" s="1"/>
  <c r="G32" i="10" s="1"/>
  <c r="H32" i="10" s="1"/>
  <c r="I32" i="10" s="1"/>
  <c r="F31" i="10"/>
  <c r="G31" i="10" s="1"/>
  <c r="H31" i="10" s="1"/>
  <c r="I31" i="10" s="1"/>
  <c r="E31" i="10"/>
  <c r="E30" i="10"/>
  <c r="F30" i="10" s="1"/>
  <c r="G30" i="10" s="1"/>
  <c r="H30" i="10" s="1"/>
  <c r="I30" i="10" s="1"/>
  <c r="E29" i="10"/>
  <c r="F29" i="10" s="1"/>
  <c r="G29" i="10" s="1"/>
  <c r="H29" i="10" s="1"/>
  <c r="I29" i="10" s="1"/>
  <c r="D27" i="10"/>
  <c r="D33" i="10" s="1"/>
  <c r="D44" i="10" s="1"/>
  <c r="C27" i="10"/>
  <c r="C33" i="10" s="1"/>
  <c r="C44" i="10" s="1"/>
  <c r="B27" i="10"/>
  <c r="B33" i="10" s="1"/>
  <c r="B44" i="10" s="1"/>
  <c r="F26" i="10"/>
  <c r="G26" i="10" s="1"/>
  <c r="H26" i="10" s="1"/>
  <c r="I26" i="10" s="1"/>
  <c r="F25" i="10"/>
  <c r="G25" i="10" s="1"/>
  <c r="H25" i="10" s="1"/>
  <c r="I25" i="10" s="1"/>
  <c r="E25" i="10"/>
  <c r="E24" i="10"/>
  <c r="F24" i="10" s="1"/>
  <c r="G24" i="10" s="1"/>
  <c r="H24" i="10" s="1"/>
  <c r="I24" i="10" s="1"/>
  <c r="E23" i="10"/>
  <c r="F23" i="10" s="1"/>
  <c r="G23" i="10" s="1"/>
  <c r="H23" i="10" s="1"/>
  <c r="I23" i="10" s="1"/>
  <c r="I21" i="10"/>
  <c r="H21" i="10"/>
  <c r="G21" i="10"/>
  <c r="F21" i="10"/>
  <c r="E21" i="10"/>
  <c r="E17" i="10"/>
  <c r="F17" i="10" s="1"/>
  <c r="G17" i="10" s="1"/>
  <c r="H17" i="10" s="1"/>
  <c r="I17" i="10" s="1"/>
  <c r="E15" i="10"/>
  <c r="F15" i="10" s="1"/>
  <c r="G15" i="10" s="1"/>
  <c r="H15" i="10" s="1"/>
  <c r="I15" i="10" s="1"/>
  <c r="D13" i="10"/>
  <c r="D18" i="10" s="1"/>
  <c r="D46" i="10" s="1"/>
  <c r="C13" i="10"/>
  <c r="C18" i="10" s="1"/>
  <c r="C46" i="10" s="1"/>
  <c r="B13" i="10"/>
  <c r="B18" i="10" s="1"/>
  <c r="B46" i="10" s="1"/>
  <c r="H12" i="10"/>
  <c r="I12" i="10" s="1"/>
  <c r="G12" i="10"/>
  <c r="F12" i="10"/>
  <c r="E11" i="10"/>
  <c r="F11" i="10" s="1"/>
  <c r="G11" i="10" s="1"/>
  <c r="H11" i="10" s="1"/>
  <c r="I11" i="10" s="1"/>
  <c r="E10" i="10"/>
  <c r="F10" i="10" s="1"/>
  <c r="G10" i="10" s="1"/>
  <c r="H10" i="10" s="1"/>
  <c r="I10" i="10" s="1"/>
  <c r="E9" i="10"/>
  <c r="F9" i="10" s="1"/>
  <c r="G9" i="10" s="1"/>
  <c r="H9" i="10" s="1"/>
  <c r="I9" i="10" s="1"/>
  <c r="I15" i="9"/>
  <c r="H15" i="9"/>
  <c r="G15" i="9"/>
  <c r="F15" i="9"/>
  <c r="E15" i="9"/>
  <c r="D14" i="9"/>
  <c r="C14" i="9"/>
  <c r="B14" i="9"/>
  <c r="D9" i="9"/>
  <c r="C9" i="9"/>
  <c r="B9" i="9"/>
  <c r="D17" i="8"/>
  <c r="I8" i="8"/>
  <c r="I20" i="11" s="1"/>
  <c r="I25" i="11" s="1"/>
  <c r="H8" i="8"/>
  <c r="H20" i="11" s="1"/>
  <c r="H25" i="11" s="1"/>
  <c r="G8" i="8"/>
  <c r="G20" i="11" s="1"/>
  <c r="G25" i="11" s="1"/>
  <c r="F8" i="8"/>
  <c r="F20" i="11" s="1"/>
  <c r="F25" i="11" s="1"/>
  <c r="E8" i="8"/>
  <c r="E20" i="11" s="1"/>
  <c r="E25" i="11" s="1"/>
  <c r="E6" i="8"/>
  <c r="E10" i="8" s="1"/>
  <c r="G25" i="7"/>
  <c r="F25" i="7"/>
  <c r="E24" i="7"/>
  <c r="E18" i="7"/>
  <c r="D15" i="7"/>
  <c r="C15" i="7"/>
  <c r="B15" i="7"/>
  <c r="I14" i="7"/>
  <c r="I25" i="7" s="1"/>
  <c r="H14" i="7"/>
  <c r="H25" i="7" s="1"/>
  <c r="G14" i="7"/>
  <c r="F14" i="7"/>
  <c r="E14" i="7"/>
  <c r="E25" i="7" s="1"/>
  <c r="E26" i="7" s="1"/>
  <c r="D10" i="7"/>
  <c r="C10" i="7"/>
  <c r="B10" i="7"/>
  <c r="C19" i="6"/>
  <c r="D18" i="6"/>
  <c r="C18" i="6"/>
  <c r="D17" i="6"/>
  <c r="C17" i="6"/>
  <c r="D16" i="6"/>
  <c r="D19" i="6" s="1"/>
  <c r="C16" i="6"/>
  <c r="D12" i="6"/>
  <c r="D11" i="6"/>
  <c r="C11" i="6"/>
  <c r="C20" i="2" s="1"/>
  <c r="D9" i="6"/>
  <c r="C9" i="6"/>
  <c r="B9" i="6"/>
  <c r="C9" i="5"/>
  <c r="D8" i="5"/>
  <c r="C8" i="5"/>
  <c r="E6" i="5"/>
  <c r="E9" i="9" s="1"/>
  <c r="D15" i="4"/>
  <c r="C15" i="4"/>
  <c r="B15" i="4"/>
  <c r="D14" i="4"/>
  <c r="C14" i="4"/>
  <c r="B14" i="4"/>
  <c r="D13" i="4"/>
  <c r="C13" i="4"/>
  <c r="B13" i="4"/>
  <c r="D10" i="4"/>
  <c r="D7" i="9" s="1"/>
  <c r="C10" i="4"/>
  <c r="C7" i="9" s="1"/>
  <c r="B10" i="4"/>
  <c r="B7" i="9" s="1"/>
  <c r="E6" i="4"/>
  <c r="E13" i="4" s="1"/>
  <c r="E16" i="3"/>
  <c r="D15" i="3"/>
  <c r="C15" i="3"/>
  <c r="D14" i="3"/>
  <c r="C14" i="3"/>
  <c r="F13" i="3"/>
  <c r="D13" i="3"/>
  <c r="C13" i="3"/>
  <c r="E10" i="3"/>
  <c r="E6" i="9" s="1"/>
  <c r="D10" i="3"/>
  <c r="D6" i="9" s="1"/>
  <c r="D8" i="9" s="1"/>
  <c r="C10" i="3"/>
  <c r="C6" i="9" s="1"/>
  <c r="B10" i="3"/>
  <c r="B6" i="9" s="1"/>
  <c r="E8" i="3"/>
  <c r="E15" i="3" s="1"/>
  <c r="F7" i="3"/>
  <c r="F7" i="4" s="1"/>
  <c r="F14" i="4" s="1"/>
  <c r="E7" i="3"/>
  <c r="E7" i="4" s="1"/>
  <c r="E14" i="4" s="1"/>
  <c r="G6" i="3"/>
  <c r="F6" i="3"/>
  <c r="F6" i="4" s="1"/>
  <c r="E6" i="3"/>
  <c r="E13" i="3" s="1"/>
  <c r="D27" i="2"/>
  <c r="C27" i="2"/>
  <c r="B27" i="2"/>
  <c r="D26" i="2"/>
  <c r="C26" i="2"/>
  <c r="B26" i="2"/>
  <c r="D25" i="2"/>
  <c r="C25" i="2"/>
  <c r="B25" i="2"/>
  <c r="D21" i="2"/>
  <c r="D20" i="2"/>
  <c r="D17" i="2"/>
  <c r="C17" i="2"/>
  <c r="D16" i="2"/>
  <c r="C16" i="2"/>
  <c r="D13" i="2"/>
  <c r="C13" i="2"/>
  <c r="B13" i="2"/>
  <c r="D12" i="2"/>
  <c r="C12" i="2"/>
  <c r="B12" i="2"/>
  <c r="D11" i="2"/>
  <c r="C11" i="2"/>
  <c r="B11" i="2"/>
  <c r="D8" i="2"/>
  <c r="C8" i="2"/>
  <c r="D7" i="2"/>
  <c r="C7" i="2"/>
  <c r="D6" i="2"/>
  <c r="C6" i="2"/>
  <c r="E16" i="10" l="1"/>
  <c r="F24" i="7"/>
  <c r="F26" i="7" s="1"/>
  <c r="F6" i="8"/>
  <c r="E14" i="8"/>
  <c r="E28" i="10" s="1"/>
  <c r="F13" i="4"/>
  <c r="H6" i="3"/>
  <c r="G7" i="3"/>
  <c r="F8" i="3"/>
  <c r="F10" i="3" s="1"/>
  <c r="G13" i="3"/>
  <c r="E17" i="2"/>
  <c r="B17" i="2"/>
  <c r="D21" i="9"/>
  <c r="D12" i="9"/>
  <c r="F14" i="3"/>
  <c r="D16" i="3"/>
  <c r="G6" i="4"/>
  <c r="E8" i="4"/>
  <c r="E15" i="4" s="1"/>
  <c r="E10" i="4"/>
  <c r="E8" i="5"/>
  <c r="E9" i="5"/>
  <c r="B11" i="6"/>
  <c r="B12" i="6"/>
  <c r="B13" i="6"/>
  <c r="E13" i="7"/>
  <c r="G36" i="10"/>
  <c r="B17" i="4"/>
  <c r="B9" i="5"/>
  <c r="E6" i="6"/>
  <c r="C12" i="6"/>
  <c r="C21" i="2" s="1"/>
  <c r="C13" i="6"/>
  <c r="C22" i="2" s="1"/>
  <c r="C17" i="4"/>
  <c r="F6" i="5"/>
  <c r="D13" i="6"/>
  <c r="D22" i="2" s="1"/>
  <c r="E17" i="8"/>
  <c r="E18" i="8" s="1"/>
  <c r="E14" i="9" s="1"/>
  <c r="B8" i="9"/>
  <c r="C8" i="9"/>
  <c r="E14" i="3"/>
  <c r="C16" i="3"/>
  <c r="D17" i="4"/>
  <c r="D9" i="5"/>
  <c r="E10" i="7"/>
  <c r="F6" i="9" l="1"/>
  <c r="F6" i="6"/>
  <c r="F13" i="7"/>
  <c r="F10" i="7"/>
  <c r="F16" i="3"/>
  <c r="B12" i="9"/>
  <c r="B21" i="9"/>
  <c r="E15" i="7"/>
  <c r="E7" i="11" s="1"/>
  <c r="E20" i="7"/>
  <c r="G13" i="4"/>
  <c r="F17" i="8"/>
  <c r="F18" i="8" s="1"/>
  <c r="F14" i="9" s="1"/>
  <c r="F10" i="8"/>
  <c r="F15" i="3"/>
  <c r="G8" i="3"/>
  <c r="F8" i="4"/>
  <c r="F16" i="10"/>
  <c r="G24" i="7"/>
  <c r="G26" i="7" s="1"/>
  <c r="F9" i="9"/>
  <c r="G6" i="5"/>
  <c r="F9" i="5"/>
  <c r="F8" i="5"/>
  <c r="F17" i="2"/>
  <c r="H36" i="10"/>
  <c r="E15" i="11"/>
  <c r="E17" i="11" s="1"/>
  <c r="E19" i="7"/>
  <c r="E21" i="7" s="1"/>
  <c r="E9" i="7"/>
  <c r="E8" i="7"/>
  <c r="E7" i="7"/>
  <c r="E6" i="7"/>
  <c r="E7" i="10"/>
  <c r="E11" i="6"/>
  <c r="E16" i="6"/>
  <c r="E7" i="9"/>
  <c r="E8" i="9" s="1"/>
  <c r="E8" i="6"/>
  <c r="E7" i="6"/>
  <c r="E17" i="4"/>
  <c r="H7" i="3"/>
  <c r="G7" i="4"/>
  <c r="G14" i="4" s="1"/>
  <c r="G14" i="3"/>
  <c r="C21" i="9"/>
  <c r="C12" i="9"/>
  <c r="D22" i="9"/>
  <c r="D16" i="9"/>
  <c r="H13" i="3"/>
  <c r="I6" i="3"/>
  <c r="H6" i="4"/>
  <c r="G10" i="3"/>
  <c r="C22" i="9" l="1"/>
  <c r="C16" i="9"/>
  <c r="H7" i="4"/>
  <c r="H14" i="4" s="1"/>
  <c r="H14" i="3"/>
  <c r="I7" i="3"/>
  <c r="E12" i="9"/>
  <c r="E21" i="9"/>
  <c r="G9" i="9"/>
  <c r="G17" i="2"/>
  <c r="G9" i="5"/>
  <c r="G8" i="5"/>
  <c r="H6" i="5"/>
  <c r="F15" i="4"/>
  <c r="F10" i="4"/>
  <c r="F15" i="11"/>
  <c r="F17" i="11" s="1"/>
  <c r="F8" i="7"/>
  <c r="F7" i="7"/>
  <c r="F6" i="7"/>
  <c r="F19" i="7"/>
  <c r="F9" i="7"/>
  <c r="E8" i="11"/>
  <c r="E14" i="10"/>
  <c r="F18" i="7"/>
  <c r="G8" i="4"/>
  <c r="G15" i="4" s="1"/>
  <c r="G15" i="3"/>
  <c r="H8" i="3"/>
  <c r="G10" i="4"/>
  <c r="F15" i="7"/>
  <c r="F7" i="11" s="1"/>
  <c r="F20" i="7"/>
  <c r="H13" i="4"/>
  <c r="D18" i="9"/>
  <c r="D23" i="9" s="1"/>
  <c r="E8" i="10"/>
  <c r="E12" i="6"/>
  <c r="E17" i="6"/>
  <c r="E9" i="11" s="1"/>
  <c r="E9" i="6"/>
  <c r="G16" i="10"/>
  <c r="H24" i="7"/>
  <c r="H26" i="7" s="1"/>
  <c r="B22" i="9"/>
  <c r="B16" i="9"/>
  <c r="F7" i="10"/>
  <c r="F16" i="6"/>
  <c r="F11" i="6"/>
  <c r="I13" i="3"/>
  <c r="I6" i="4"/>
  <c r="G6" i="9"/>
  <c r="G6" i="6"/>
  <c r="G16" i="3"/>
  <c r="G13" i="7"/>
  <c r="G10" i="7"/>
  <c r="E22" i="10"/>
  <c r="E27" i="10" s="1"/>
  <c r="E33" i="10" s="1"/>
  <c r="E13" i="6"/>
  <c r="E18" i="6"/>
  <c r="E10" i="11" s="1"/>
  <c r="I36" i="10"/>
  <c r="G6" i="8"/>
  <c r="F14" i="8"/>
  <c r="F28" i="10" s="1"/>
  <c r="G7" i="10" l="1"/>
  <c r="G11" i="6"/>
  <c r="G9" i="6"/>
  <c r="G16" i="6"/>
  <c r="H8" i="4"/>
  <c r="H15" i="3"/>
  <c r="I8" i="3"/>
  <c r="H10" i="3"/>
  <c r="G10" i="8"/>
  <c r="F8" i="11"/>
  <c r="H16" i="10"/>
  <c r="I24" i="7"/>
  <c r="I26" i="7" s="1"/>
  <c r="I16" i="10" s="1"/>
  <c r="G7" i="9"/>
  <c r="G17" i="4"/>
  <c r="G8" i="6"/>
  <c r="G7" i="6"/>
  <c r="F21" i="7"/>
  <c r="H9" i="9"/>
  <c r="H9" i="5"/>
  <c r="H8" i="5"/>
  <c r="I6" i="5"/>
  <c r="H17" i="2"/>
  <c r="G15" i="11"/>
  <c r="G17" i="11" s="1"/>
  <c r="G7" i="7"/>
  <c r="G6" i="7"/>
  <c r="G19" i="7"/>
  <c r="G9" i="7"/>
  <c r="G8" i="7"/>
  <c r="G8" i="9"/>
  <c r="B18" i="9"/>
  <c r="B23" i="9" s="1"/>
  <c r="E19" i="6"/>
  <c r="F7" i="9"/>
  <c r="F8" i="9" s="1"/>
  <c r="F7" i="6"/>
  <c r="F17" i="4"/>
  <c r="F8" i="6"/>
  <c r="E16" i="9"/>
  <c r="E22" i="9"/>
  <c r="C18" i="9"/>
  <c r="C23" i="9" s="1"/>
  <c r="G15" i="7"/>
  <c r="G7" i="11" s="1"/>
  <c r="G20" i="7"/>
  <c r="I13" i="4"/>
  <c r="I7" i="4"/>
  <c r="I14" i="4" s="1"/>
  <c r="I14" i="3"/>
  <c r="E17" i="9" l="1"/>
  <c r="E18" i="9" s="1"/>
  <c r="F12" i="9"/>
  <c r="F21" i="9"/>
  <c r="G21" i="9"/>
  <c r="G12" i="9"/>
  <c r="I9" i="9"/>
  <c r="I17" i="2"/>
  <c r="I8" i="5"/>
  <c r="F14" i="10"/>
  <c r="G18" i="7"/>
  <c r="G21" i="7" s="1"/>
  <c r="I15" i="3"/>
  <c r="I8" i="4"/>
  <c r="I10" i="3"/>
  <c r="F22" i="10"/>
  <c r="F27" i="10" s="1"/>
  <c r="F33" i="10" s="1"/>
  <c r="F18" i="6"/>
  <c r="F10" i="11" s="1"/>
  <c r="F13" i="6"/>
  <c r="G8" i="10"/>
  <c r="G17" i="6"/>
  <c r="G9" i="11" s="1"/>
  <c r="G12" i="6"/>
  <c r="G14" i="8"/>
  <c r="G28" i="10" s="1"/>
  <c r="H6" i="8"/>
  <c r="G22" i="10"/>
  <c r="G27" i="10" s="1"/>
  <c r="G33" i="10" s="1"/>
  <c r="G18" i="6"/>
  <c r="G10" i="11" s="1"/>
  <c r="G13" i="6"/>
  <c r="G17" i="8"/>
  <c r="G18" i="8" s="1"/>
  <c r="G14" i="9" s="1"/>
  <c r="H15" i="4"/>
  <c r="H10" i="4"/>
  <c r="F8" i="10"/>
  <c r="F17" i="6"/>
  <c r="F12" i="6"/>
  <c r="F9" i="6"/>
  <c r="H6" i="9"/>
  <c r="H13" i="7"/>
  <c r="H10" i="7"/>
  <c r="H6" i="6"/>
  <c r="H16" i="3"/>
  <c r="G8" i="11"/>
  <c r="G19" i="6"/>
  <c r="E6" i="11" l="1"/>
  <c r="E12" i="11" s="1"/>
  <c r="E28" i="11" s="1"/>
  <c r="E29" i="11" s="1"/>
  <c r="E39" i="10"/>
  <c r="E24" i="9"/>
  <c r="E23" i="9"/>
  <c r="H20" i="7"/>
  <c r="H15" i="7"/>
  <c r="H7" i="11" s="1"/>
  <c r="H17" i="8"/>
  <c r="H18" i="8" s="1"/>
  <c r="H14" i="9" s="1"/>
  <c r="H10" i="8"/>
  <c r="I6" i="9"/>
  <c r="I10" i="7"/>
  <c r="I6" i="6"/>
  <c r="I16" i="3"/>
  <c r="I13" i="7"/>
  <c r="F22" i="9"/>
  <c r="F16" i="9"/>
  <c r="I15" i="4"/>
  <c r="I10" i="4"/>
  <c r="G22" i="9"/>
  <c r="G16" i="9"/>
  <c r="H15" i="11"/>
  <c r="H17" i="11" s="1"/>
  <c r="H6" i="7"/>
  <c r="H19" i="7"/>
  <c r="H9" i="7"/>
  <c r="H8" i="7"/>
  <c r="H7" i="7"/>
  <c r="G14" i="10"/>
  <c r="H18" i="7"/>
  <c r="F9" i="11"/>
  <c r="F19" i="6"/>
  <c r="H8" i="9"/>
  <c r="H7" i="10"/>
  <c r="H11" i="6"/>
  <c r="H16" i="6"/>
  <c r="H7" i="9"/>
  <c r="H17" i="4"/>
  <c r="H8" i="6"/>
  <c r="H7" i="6"/>
  <c r="I9" i="5"/>
  <c r="H8" i="10" l="1"/>
  <c r="H12" i="6"/>
  <c r="H17" i="6"/>
  <c r="H9" i="11" s="1"/>
  <c r="H22" i="10"/>
  <c r="H27" i="10" s="1"/>
  <c r="H18" i="6"/>
  <c r="H10" i="11" s="1"/>
  <c r="H13" i="6"/>
  <c r="H9" i="6"/>
  <c r="I7" i="9"/>
  <c r="I8" i="9" s="1"/>
  <c r="I8" i="6"/>
  <c r="I7" i="6"/>
  <c r="I17" i="4"/>
  <c r="I15" i="11"/>
  <c r="I17" i="11" s="1"/>
  <c r="I19" i="7"/>
  <c r="I9" i="7"/>
  <c r="I8" i="7"/>
  <c r="I7" i="7"/>
  <c r="I6" i="7"/>
  <c r="H8" i="11"/>
  <c r="H19" i="6"/>
  <c r="H21" i="9"/>
  <c r="H12" i="9"/>
  <c r="F18" i="9"/>
  <c r="F39" i="10" s="1"/>
  <c r="F17" i="9"/>
  <c r="I7" i="10"/>
  <c r="I11" i="6"/>
  <c r="I9" i="6"/>
  <c r="I16" i="6"/>
  <c r="I15" i="7"/>
  <c r="I7" i="11" s="1"/>
  <c r="I20" i="7"/>
  <c r="E43" i="10"/>
  <c r="E44" i="10" s="1"/>
  <c r="H21" i="7"/>
  <c r="G18" i="9"/>
  <c r="G17" i="9"/>
  <c r="H14" i="8"/>
  <c r="H28" i="10" s="1"/>
  <c r="I6" i="8"/>
  <c r="E6" i="10"/>
  <c r="E13" i="10" s="1"/>
  <c r="E18" i="10" s="1"/>
  <c r="F27" i="11"/>
  <c r="I12" i="9" l="1"/>
  <c r="I21" i="9"/>
  <c r="G39" i="10"/>
  <c r="F43" i="10"/>
  <c r="F44" i="10" s="1"/>
  <c r="H33" i="10"/>
  <c r="I8" i="11"/>
  <c r="I19" i="6"/>
  <c r="F6" i="11"/>
  <c r="F12" i="11" s="1"/>
  <c r="F28" i="11" s="1"/>
  <c r="F29" i="11" s="1"/>
  <c r="F24" i="9"/>
  <c r="F23" i="9"/>
  <c r="I8" i="10"/>
  <c r="I12" i="6"/>
  <c r="I17" i="6"/>
  <c r="I9" i="11" s="1"/>
  <c r="E46" i="10"/>
  <c r="G6" i="11"/>
  <c r="G12" i="11" s="1"/>
  <c r="G28" i="11" s="1"/>
  <c r="G24" i="9"/>
  <c r="G23" i="9"/>
  <c r="I10" i="8"/>
  <c r="I14" i="8" s="1"/>
  <c r="I28" i="10" s="1"/>
  <c r="H14" i="10"/>
  <c r="I18" i="7"/>
  <c r="I21" i="7" s="1"/>
  <c r="I14" i="10" s="1"/>
  <c r="H22" i="9"/>
  <c r="H16" i="9"/>
  <c r="I22" i="10"/>
  <c r="I27" i="10" s="1"/>
  <c r="I13" i="6"/>
  <c r="I18" i="6"/>
  <c r="I10" i="11" s="1"/>
  <c r="F6" i="10" l="1"/>
  <c r="F13" i="10" s="1"/>
  <c r="F18" i="10" s="1"/>
  <c r="F46" i="10" s="1"/>
  <c r="G27" i="11"/>
  <c r="G29" i="11" s="1"/>
  <c r="G43" i="10"/>
  <c r="G44" i="10" s="1"/>
  <c r="H17" i="9"/>
  <c r="H18" i="9" s="1"/>
  <c r="I17" i="8"/>
  <c r="I18" i="8" s="1"/>
  <c r="I14" i="9" s="1"/>
  <c r="I16" i="9" s="1"/>
  <c r="I33" i="10"/>
  <c r="I22" i="9"/>
  <c r="H23" i="9" l="1"/>
  <c r="H6" i="11"/>
  <c r="H12" i="11" s="1"/>
  <c r="H28" i="11" s="1"/>
  <c r="H24" i="9"/>
  <c r="H39" i="10"/>
  <c r="I17" i="9"/>
  <c r="I18" i="9" s="1"/>
  <c r="H27" i="11"/>
  <c r="H29" i="11" s="1"/>
  <c r="G6" i="10"/>
  <c r="G13" i="10" s="1"/>
  <c r="G18" i="10" s="1"/>
  <c r="G46" i="10" s="1"/>
  <c r="I6" i="11" l="1"/>
  <c r="I12" i="11" s="1"/>
  <c r="I28" i="11" s="1"/>
  <c r="I24" i="9"/>
  <c r="I23" i="9"/>
  <c r="I39" i="10"/>
  <c r="I43" i="10" s="1"/>
  <c r="I44" i="10" s="1"/>
  <c r="H43" i="10"/>
  <c r="H44" i="10" s="1"/>
  <c r="I27" i="11"/>
  <c r="I29" i="11" s="1"/>
  <c r="I6" i="10" s="1"/>
  <c r="I13" i="10" s="1"/>
  <c r="I18" i="10" s="1"/>
  <c r="I46" i="10" s="1"/>
  <c r="H6" i="10"/>
  <c r="H13" i="10" s="1"/>
  <c r="H18" i="10" s="1"/>
  <c r="H46"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tc={E07DEB33-B250-4121-856E-58668274E077}</author>
  </authors>
  <commentList>
    <comment ref="E16" authorId="0" shapeId="0" xr:uid="{00000000-0006-0000-0A00-000004000000}">
      <text>
        <r>
          <rPr>
            <sz val="10"/>
            <rFont val="Arial"/>
            <family val="2"/>
          </rPr>
          <t>Proceeds netos Italy Infant Transaction (10-K Note 5)</t>
        </r>
      </text>
    </comment>
    <comment ref="B27" authorId="0" shapeId="0" xr:uid="{00000000-0006-0000-0A00-000001000000}">
      <text>
        <r>
          <rPr>
            <sz val="10"/>
            <rFont val="Arial"/>
            <family val="2"/>
          </rPr>
          <t>Cash &amp; equivalents al cierre FY22 - aproximacion (10-K reporta cash + restricted = 1041)</t>
        </r>
      </text>
    </comment>
    <comment ref="C27" authorId="0" shapeId="0" xr:uid="{00000000-0006-0000-0A00-000002000000}">
      <text>
        <r>
          <rPr>
            <sz val="10"/>
            <rFont val="Arial"/>
            <family val="2"/>
          </rPr>
          <t>Cash &amp; equivalents al cierre FY23 - aprox (10-K reporta cash + restricted = 1404)</t>
        </r>
      </text>
    </comment>
    <comment ref="D27" authorId="0" shapeId="0" xr:uid="{00000000-0006-0000-0A00-000003000000}">
      <text>
        <r>
          <rPr>
            <sz val="10"/>
            <rFont val="Arial"/>
            <family val="2"/>
          </rPr>
          <t>Cash &amp; equivalents al cierre FY24 = 1334 (Balance Sheet del 10-K)</t>
        </r>
      </text>
    </comment>
    <comment ref="D29" authorId="1" shapeId="0" xr:uid="{E07DEB33-B250-4121-856E-58668274E07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Nota sobre reconciliación: El saldo de caja reflejado en este modelo corresponde a Cash and cash equivalents según el Balance General ($2.615M al cierre de FY2025A), excluyendo el restricted cash ($329M). El Cash Flow Statement del 10-K reconcilia contra un saldo combinado de Cash, cash equivalents, and restricted cash. El restricted cash se excluye del modelo dado que no está libremente disponible para operaciones ni servicio de deuda, siendo inmaterial en relación al forecast global. El efecto del tipo de cambio sobre el saldo de caja (+$80M en FY2025A) se excluye de igual manera, en línea con el supuesto de que los efectos cambiarios sobre el cash proyectado no se modelan explícitamente. </t>
      </text>
    </comment>
  </commentList>
</comments>
</file>

<file path=xl/sharedStrings.xml><?xml version="1.0" encoding="utf-8"?>
<sst xmlns="http://schemas.openxmlformats.org/spreadsheetml/2006/main" count="323" uniqueCount="228">
  <si>
    <t>THE KRAFT HEINZ COMPANY (NASDAQ: KHC)</t>
  </si>
  <si>
    <t>Prueba Tecnica  |  NoNighter LLC  |  Posicion: Modelador Financiero</t>
  </si>
  <si>
    <t>10-K FY2025 (fiscal year ended December 27, 2025) - SEC filing</t>
  </si>
  <si>
    <t>Periodo historico:</t>
  </si>
  <si>
    <t>Periodo proyectado:</t>
  </si>
  <si>
    <t>Moneda / unidades:</t>
  </si>
  <si>
    <t>Convenciones de color:</t>
  </si>
  <si>
    <t>Hardcodes = azul (#0000FF)  |  Links entre sheets = verde (#3C7D22)  |  Formulas = negro</t>
  </si>
  <si>
    <t>Indice de hojas</t>
  </si>
  <si>
    <t>1.  Assumptions</t>
  </si>
  <si>
    <t>Drivers e hipotesis del modelo</t>
  </si>
  <si>
    <t>2.  Revenue</t>
  </si>
  <si>
    <t>Buildup de ingresos por segmento</t>
  </si>
  <si>
    <t>3.  COGS</t>
  </si>
  <si>
    <t>Buildup de costos por segmento</t>
  </si>
  <si>
    <t>4.  OpEx</t>
  </si>
  <si>
    <t>Buildup de SG&amp;A</t>
  </si>
  <si>
    <t>5.  NWC</t>
  </si>
  <si>
    <t>Capital de trabajo (DSO / DIO / DPO)</t>
  </si>
  <si>
    <t>6.  CapEx_DA</t>
  </si>
  <si>
    <t>CapEx, Depreciacion y Amortizacion - roll forward PPE/Intangibles</t>
  </si>
  <si>
    <t>7.  Debt</t>
  </si>
  <si>
    <t>Debt schedule e interest expense</t>
  </si>
  <si>
    <t>8.  IS</t>
  </si>
  <si>
    <t>Estado de Resultados (P&amp;L)</t>
  </si>
  <si>
    <t>9.  BS</t>
  </si>
  <si>
    <t>Balance General</t>
  </si>
  <si>
    <t>10. CFS</t>
  </si>
  <si>
    <t>Estado de Flujos de Efectivo</t>
  </si>
  <si>
    <t>Notas y supuestos clave</t>
  </si>
  <si>
    <t>- Forecast de revenue por segmento: crecimiento anual aplicado al ultimo dato historico (FY25).</t>
  </si>
  <si>
    <t>- COGS proyectado como % de ventas por segmento (driver del 10-K = adjusted COGS de Note 21).</t>
  </si>
  <si>
    <t>- SG&amp;A excluye impairments historicos. Se asume crecimiento anual modesto; impairments = 0 forward.</t>
  </si>
  <si>
    <t>- NWC proyectado con DSO/DIO/DPO; resto de partidas corrientes se mantienen flat.</t>
  </si>
  <si>
    <t>- CapEx y depreciacion proyectados como % de ventas; amortizacion de intangibles flat (~$250M/anio).</t>
  </si>
  <si>
    <t>- Debt: se asume refinanciacion del 100% de vencimientos (debt rollover); interes = tasa promedio aplicada al saldo promedio.</t>
  </si>
  <si>
    <t>- Impuestos: tax rate estatutaria efectiva proyectada ~25% (mix US + foreign).</t>
  </si>
  <si>
    <t>- Dividendos: se mantiene DPS de $1.60/accion (politica reciente FY23-FY25).</t>
  </si>
  <si>
    <t>- Cash se obtiene como plug desde el CFS; el Balance debe cerrar (ver fila Check en BS).</t>
  </si>
  <si>
    <t>ASSUMPTIONS - Drivers del modelo</t>
  </si>
  <si>
    <t>($M)</t>
  </si>
  <si>
    <t>FY2023A</t>
  </si>
  <si>
    <t>FY2024A</t>
  </si>
  <si>
    <t>FY2025A</t>
  </si>
  <si>
    <t>FY2026E</t>
  </si>
  <si>
    <t>FY2027E</t>
  </si>
  <si>
    <t>FY2028E</t>
  </si>
  <si>
    <t>FY2029E</t>
  </si>
  <si>
    <t>FY2030E</t>
  </si>
  <si>
    <t>1. Revenue growth (YoY %)</t>
  </si>
  <si>
    <t>North America - sales growth</t>
  </si>
  <si>
    <t>International Developed Markets - sales growth</t>
  </si>
  <si>
    <t>Emerging Markets - sales growth</t>
  </si>
  <si>
    <t>2. COGS as % of Sales (by segment)</t>
  </si>
  <si>
    <t>North America - COGS % sales</t>
  </si>
  <si>
    <t>International Developed Markets - COGS % sales</t>
  </si>
  <si>
    <t>Emerging Markets - COGS % sales</t>
  </si>
  <si>
    <t>3. OpEx (SG&amp;A excl. impairments)</t>
  </si>
  <si>
    <t>SG&amp;A growth (YoY %)</t>
  </si>
  <si>
    <t>SG&amp;A as % of Sales (reference)</t>
  </si>
  <si>
    <t>4. NWC days (DSO / DIO / DPO)</t>
  </si>
  <si>
    <t>DSO - Days Sales Outstanding</t>
  </si>
  <si>
    <t>DIO - Days Inventory Outstanding</t>
  </si>
  <si>
    <t>DPO - Days Payable Outstanding</t>
  </si>
  <si>
    <t>5. CapEx &amp; D&amp;A</t>
  </si>
  <si>
    <t>CapEx % of Sales</t>
  </si>
  <si>
    <t>Depreciation % of Sales</t>
  </si>
  <si>
    <t>Amortization of intangibles ($M)</t>
  </si>
  <si>
    <t>6. Debt</t>
  </si>
  <si>
    <t>Average interest rate on debt</t>
  </si>
  <si>
    <t>Refinancing % of scheduled maturities</t>
  </si>
  <si>
    <t>7. Tax, Other &amp; Equity</t>
  </si>
  <si>
    <t>Effective tax rate</t>
  </si>
  <si>
    <t>Other (income)/expense ($M, flat)</t>
  </si>
  <si>
    <t>Dividends per share ($/share)</t>
  </si>
  <si>
    <t>Diluted shares outstanding (M)</t>
  </si>
  <si>
    <t>Share repurchases ($M)</t>
  </si>
  <si>
    <t>REVENUE BUILDUP - Net Sales by Segment</t>
  </si>
  <si>
    <t>Net sales by segment ($M)</t>
  </si>
  <si>
    <t>North America</t>
  </si>
  <si>
    <t>International Developed Markets</t>
  </si>
  <si>
    <t>Emerging Markets</t>
  </si>
  <si>
    <t>Total Net Sales</t>
  </si>
  <si>
    <t>Growth rates YoY (check)</t>
  </si>
  <si>
    <t>Total Kraft Heinz</t>
  </si>
  <si>
    <t>COGS BUILDUP - by Segment (% of Sales)</t>
  </si>
  <si>
    <t>COGS by segment ($M)</t>
  </si>
  <si>
    <t>Total COGS</t>
  </si>
  <si>
    <t>COGS as % of Segment Sales (check)</t>
  </si>
  <si>
    <t>Gross margin %  (consolidated)</t>
  </si>
  <si>
    <t>OPEX BUILDUP - SG&amp;A (excluding impairments)</t>
  </si>
  <si>
    <t>SG&amp;A excluding impairment losses ($M)</t>
  </si>
  <si>
    <t>SG&amp;A (excl. impairments)</t>
  </si>
  <si>
    <t>SG&amp;A growth YoY</t>
  </si>
  <si>
    <t>SG&amp;A as % of Sales</t>
  </si>
  <si>
    <t>NET WORKING CAPITAL BUILDUP (DSO / DIO / DPO)</t>
  </si>
  <si>
    <t>Working capital balance ($M)</t>
  </si>
  <si>
    <t>Trade receivables (AR)</t>
  </si>
  <si>
    <t>Inventories</t>
  </si>
  <si>
    <t>Accounts payable</t>
  </si>
  <si>
    <t>Operating NWC (AR + Inv - AP)</t>
  </si>
  <si>
    <t>Implied days (check)</t>
  </si>
  <si>
    <t>DSO = AR / Sales * 365</t>
  </si>
  <si>
    <t>DIO = Inv / COGS * 365</t>
  </si>
  <si>
    <t>DPO = AP / COGS * 365</t>
  </si>
  <si>
    <t>Change in NWC ($M)  - flows to CFS</t>
  </si>
  <si>
    <t>(Increase) / decrease in AR</t>
  </si>
  <si>
    <t>(Increase) / decrease in Inventories</t>
  </si>
  <si>
    <t>Increase / (decrease) in AP</t>
  </si>
  <si>
    <t>Total change in operating NWC</t>
  </si>
  <si>
    <t>CAPEX &amp; D&amp;A BUILDUP - Roll-forward of PPE and Intangibles</t>
  </si>
  <si>
    <t>CapEx by segment ($M)</t>
  </si>
  <si>
    <t>General corporate</t>
  </si>
  <si>
    <t>Total CapEx</t>
  </si>
  <si>
    <t>Depreciation &amp; Amortization ($M)</t>
  </si>
  <si>
    <t>Depreciation (PPE)</t>
  </si>
  <si>
    <t>Amortization of intangibles</t>
  </si>
  <si>
    <t>Total D&amp;A</t>
  </si>
  <si>
    <t>PPE roll-forward ($M)</t>
  </si>
  <si>
    <t>Beginning PPE, net</t>
  </si>
  <si>
    <t>(+) CapEx</t>
  </si>
  <si>
    <t>(-) Depreciation</t>
  </si>
  <si>
    <t>Ending PPE, net</t>
  </si>
  <si>
    <t>Intangibles roll-forward ($M)</t>
  </si>
  <si>
    <t>Beginning Intangibles, net</t>
  </si>
  <si>
    <t>(-) Amortization</t>
  </si>
  <si>
    <t>Ending Intangibles, net</t>
  </si>
  <si>
    <t>DEBT SCHEDULE - Total Debt roll-forward &amp; Interest Expense</t>
  </si>
  <si>
    <t>Total debt roll-forward ($M)</t>
  </si>
  <si>
    <t>Beginning total debt (CurLTD + LTD)</t>
  </si>
  <si>
    <t>(-) Scheduled maturities (10-K Note 17)</t>
  </si>
  <si>
    <t>(+) New debt issuance (refinancing)</t>
  </si>
  <si>
    <t>(+/-) FX / debt premium amortization (held flat)</t>
  </si>
  <si>
    <t>Ending total debt</t>
  </si>
  <si>
    <t>Current vs Long-term split ($M)</t>
  </si>
  <si>
    <t>Current portion of LT debt</t>
  </si>
  <si>
    <t>Long-term debt</t>
  </si>
  <si>
    <t>Interest expense ($M)</t>
  </si>
  <si>
    <t>Average total debt</t>
  </si>
  <si>
    <t>Interest expense</t>
  </si>
  <si>
    <t>INCOME STATEMENT (P&amp;L) - Consolidated</t>
  </si>
  <si>
    <t>Consolidated Income Statement ($M)</t>
  </si>
  <si>
    <t>Net sales</t>
  </si>
  <si>
    <t>Cost of products sold</t>
  </si>
  <si>
    <t>Gross profit</t>
  </si>
  <si>
    <t>Selling, general &amp; administrative expense</t>
  </si>
  <si>
    <t>Goodwill impairment losses</t>
  </si>
  <si>
    <t>Intangible asset impairment losses</t>
  </si>
  <si>
    <t>Operating income / (loss)</t>
  </si>
  <si>
    <t>Other (expense) / income</t>
  </si>
  <si>
    <t>Income / (loss) before income taxes</t>
  </si>
  <si>
    <t>Provision for / (benefit from) income taxes</t>
  </si>
  <si>
    <t>Net income / (loss)</t>
  </si>
  <si>
    <t>Margins &amp; EPS (check)</t>
  </si>
  <si>
    <t>Gross margin %</t>
  </si>
  <si>
    <t>Operating margin %</t>
  </si>
  <si>
    <t>Net margin %</t>
  </si>
  <si>
    <t>EPS - basic ($)</t>
  </si>
  <si>
    <t>BALANCE SHEET - Consolidated</t>
  </si>
  <si>
    <t>ASSETS ($M)</t>
  </si>
  <si>
    <t xml:space="preserve">  Cash and cash equivalents</t>
  </si>
  <si>
    <t xml:space="preserve">  Trade receivables, net</t>
  </si>
  <si>
    <t xml:space="preserve">  Inventories</t>
  </si>
  <si>
    <t xml:space="preserve">  Prepaid expenses</t>
  </si>
  <si>
    <t xml:space="preserve">  Marketable securities</t>
  </si>
  <si>
    <t xml:space="preserve">  Other current assets</t>
  </si>
  <si>
    <t xml:space="preserve">  Assets held for sale</t>
  </si>
  <si>
    <t>Total current assets</t>
  </si>
  <si>
    <t xml:space="preserve">  Property, plant and equipment, net</t>
  </si>
  <si>
    <t xml:space="preserve">  Goodwill</t>
  </si>
  <si>
    <t xml:space="preserve">  Intangible assets, net</t>
  </si>
  <si>
    <t xml:space="preserve">  Other non-current assets</t>
  </si>
  <si>
    <t>TOTAL ASSETS</t>
  </si>
  <si>
    <t>LIABILITIES ($M)</t>
  </si>
  <si>
    <t xml:space="preserve">  Current portion of long-term debt</t>
  </si>
  <si>
    <t xml:space="preserve">  Accounts payable</t>
  </si>
  <si>
    <t xml:space="preserve">  Accrued marketing</t>
  </si>
  <si>
    <t xml:space="preserve">  Interest payable</t>
  </si>
  <si>
    <t xml:space="preserve">  Other current liabilities</t>
  </si>
  <si>
    <t xml:space="preserve">  Liabilities held for sale</t>
  </si>
  <si>
    <t>Total current liabilities</t>
  </si>
  <si>
    <t xml:space="preserve">  Long-term debt</t>
  </si>
  <si>
    <t xml:space="preserve">  Deferred income taxes</t>
  </si>
  <si>
    <t xml:space="preserve">  Accrued postemployment costs</t>
  </si>
  <si>
    <t xml:space="preserve">  Long-term deferred income</t>
  </si>
  <si>
    <t xml:space="preserve">  Other non-current liabilities</t>
  </si>
  <si>
    <t>TOTAL LIABILITIES</t>
  </si>
  <si>
    <t>EQUITY ($M)</t>
  </si>
  <si>
    <t xml:space="preserve">  Redeemable noncontrolling interest</t>
  </si>
  <si>
    <t xml:space="preserve">  Common stock</t>
  </si>
  <si>
    <t xml:space="preserve">  Additional paid-in capital</t>
  </si>
  <si>
    <t xml:space="preserve">  Retained earnings / (deficit)</t>
  </si>
  <si>
    <t xml:space="preserve">  Accumulated other comprehensive income / (loss)</t>
  </si>
  <si>
    <t xml:space="preserve">  Treasury stock, at cost</t>
  </si>
  <si>
    <t xml:space="preserve">  Noncontrolling interest</t>
  </si>
  <si>
    <t>TOTAL EQUITY</t>
  </si>
  <si>
    <t>TOTAL LIABILITIES AND EQUITY</t>
  </si>
  <si>
    <t>CHECK: Total Assets - Total L+E (must = 0)</t>
  </si>
  <si>
    <t>CASH FLOW STATEMENT - Consolidated</t>
  </si>
  <si>
    <t>CASH FLOWS FROM OPERATING ACTIVITIES ($M)</t>
  </si>
  <si>
    <t>(+) Depreciation and amortization</t>
  </si>
  <si>
    <t>(+/-) Change in trade receivables</t>
  </si>
  <si>
    <t>(+/-) Change in inventories</t>
  </si>
  <si>
    <t>(+/-) Change in accounts payable</t>
  </si>
  <si>
    <t>(+/-) Other operating items (held flat)</t>
  </si>
  <si>
    <t>Net cash from operating activities</t>
  </si>
  <si>
    <t>CASH FLOWS FROM INVESTING ACTIVITIES ($M)</t>
  </si>
  <si>
    <t>(-) CapEx</t>
  </si>
  <si>
    <t>(+/-) Other investing (held flat)</t>
  </si>
  <si>
    <t>Net cash from investing activities</t>
  </si>
  <si>
    <t>CASH FLOWS FROM FINANCING ACTIVITIES ($M)</t>
  </si>
  <si>
    <t>(+) Proceeds from issuance of long-term debt</t>
  </si>
  <si>
    <t>(-) Repayments of long-term debt</t>
  </si>
  <si>
    <t>(-) Dividends paid</t>
  </si>
  <si>
    <t>(-) Share repurchases</t>
  </si>
  <si>
    <t>(+/-) Other financing (held flat)</t>
  </si>
  <si>
    <t>Net cash from financing activities</t>
  </si>
  <si>
    <t>CASH RECONCILIATION ($M)</t>
  </si>
  <si>
    <t>Cash, beginning of period</t>
  </si>
  <si>
    <t>Net increase / (decrease) in cash</t>
  </si>
  <si>
    <t>Cash, end of period</t>
  </si>
  <si>
    <t>Fuente:</t>
  </si>
  <si>
    <t>FY2023A - FY2025A</t>
  </si>
  <si>
    <t>FY2026E - FY2030E</t>
  </si>
  <si>
    <t>USD millones (excepto excepciones)</t>
  </si>
  <si>
    <t>Modelo Financiero  - 5 años forward</t>
  </si>
  <si>
    <t>Nota metodológica:</t>
  </si>
  <si>
    <t>El roll-forward de activos intangibles refleja únicamente la amortización anual proyectada (en torno a $250M), sin incorporar nuevas adquisiciones. Este supuesto se basa en que KHC se encuentra en una etapa de desinversión y reestructuración de portfolio, con foco en reducción de deuda y mejora de márgenes operativos, lo que hace poco probable la realización de adquisiciones significativas en el período proyectado. En adición, El ratio CapEx/Ventas se incrementa de 2,0% histórico (FY2025A) a 3,4% en FY2026E-FY2027E, reflejando un ciclo de reinversión moderado luego de un año de contención de gastos de capital. Los niveles proyectados son consistentes con el promedio histórico FY2023A-FY2024A (~2,3%-2,5%) más un margen adicional por proyectos de eficiencia operativa mencionados (ver 10-K).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</si>
</sst>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quot; d&quot;"/>
    <numFmt numFmtId="166" formatCode="#,##0;\(#,##0\);\-"/>
    <numFmt numFmtId="167" formatCode="\$0.00"/>
  </numFmts>
  <fonts count="17" x14ac:knownFonts="1">
    <font>
      <sz val="11"/>
      <color theme="1"/>
      <name val="Calibri"/>
      <family val="2"/>
      <charset val="1"/>
    </font>
    <font>
      <b/>
      <sz val="18"/>
      <color rgb="FF1F4E78"/>
      <name val="Arial"/>
      <charset val="1"/>
    </font>
    <font>
      <i/>
      <sz val="12"/>
      <color rgb="FF404040"/>
      <name val="Arial"/>
      <charset val="1"/>
    </font>
    <font>
      <b/>
      <sz val="8"/>
      <color rgb="FF000000"/>
      <name val="Arial"/>
      <charset val="1"/>
    </font>
    <font>
      <sz val="8"/>
      <color rgb="FF000000"/>
      <name val="Arial"/>
      <charset val="1"/>
    </font>
    <font>
      <b/>
      <sz val="11"/>
      <color rgb="FF1F4E78"/>
      <name val="Arial"/>
      <charset val="1"/>
    </font>
    <font>
      <i/>
      <sz val="8"/>
      <color rgb="FF000000"/>
      <name val="Arial"/>
      <charset val="1"/>
    </font>
    <font>
      <b/>
      <sz val="12"/>
      <color rgb="FF1F4E78"/>
      <name val="Arial"/>
      <charset val="1"/>
    </font>
    <font>
      <b/>
      <i/>
      <sz val="8"/>
      <color rgb="FF000000"/>
      <name val="Arial"/>
      <charset val="1"/>
    </font>
    <font>
      <b/>
      <sz val="8"/>
      <color rgb="FFFFFFFF"/>
      <name val="Arial"/>
      <charset val="1"/>
    </font>
    <font>
      <sz val="8"/>
      <color rgb="FF3C7D22"/>
      <name val="Arial"/>
      <charset val="1"/>
    </font>
    <font>
      <sz val="8"/>
      <color rgb="FF0000FF"/>
      <name val="Arial"/>
      <charset val="1"/>
    </font>
    <font>
      <b/>
      <sz val="8"/>
      <color rgb="FF3C7D22"/>
      <name val="Arial"/>
      <charset val="1"/>
    </font>
    <font>
      <b/>
      <sz val="8"/>
      <color rgb="FF0000FF"/>
      <name val="Arial"/>
      <charset val="1"/>
    </font>
    <font>
      <sz val="10"/>
      <name val="Arial"/>
      <family val="2"/>
    </font>
    <font>
      <sz val="9"/>
      <color indexed="81"/>
      <name val="Tahoma"/>
      <charset val="1"/>
    </font>
    <font>
      <sz val="11"/>
      <name val="Calibri"/>
      <family val="2"/>
      <charset val="1"/>
    </font>
  </fonts>
  <fills count="4">
    <fill>
      <patternFill patternType="none"/>
    </fill>
    <fill>
      <patternFill patternType="gray125"/>
    </fill>
    <fill>
      <patternFill patternType="solid">
        <fgColor rgb="FF1F4E78"/>
        <bgColor rgb="FF003366"/>
      </patternFill>
    </fill>
    <fill>
      <patternFill patternType="solid">
        <fgColor theme="2"/>
        <bgColor indexed="64"/>
      </patternFill>
    </fill>
  </fills>
  <borders count="4">
    <border>
      <left/>
      <right/>
      <top/>
      <bottom/>
      <diagonal/>
    </border>
    <border>
      <left/>
      <right/>
      <top/>
      <bottom style="thin">
        <color rgb="FFBFBFBF"/>
      </bottom>
      <diagonal/>
    </border>
    <border>
      <left/>
      <right/>
      <top style="thin">
        <color rgb="FFBFBFBF"/>
      </top>
      <bottom style="thin">
        <color rgb="FFBFBFBF"/>
      </bottom>
      <diagonal/>
    </border>
    <border>
      <left/>
      <right/>
      <top/>
      <bottom style="double">
        <color auto="1"/>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applyAlignment="1">
      <alignment horizontal="left" vertical="center"/>
    </xf>
    <xf numFmtId="0" fontId="3" fillId="0" borderId="1" xfId="0" applyFont="1" applyBorder="1" applyAlignment="1">
      <alignment horizontal="right"/>
    </xf>
    <xf numFmtId="0" fontId="9" fillId="2" borderId="0" xfId="0" applyFont="1" applyFill="1" applyAlignment="1">
      <alignment horizontal="left" vertical="center"/>
    </xf>
    <xf numFmtId="0" fontId="9" fillId="2" borderId="0" xfId="0" applyFont="1" applyFill="1"/>
    <xf numFmtId="164" fontId="10" fillId="0" borderId="0" xfId="0" applyNumberFormat="1" applyFont="1"/>
    <xf numFmtId="164" fontId="11" fillId="0" borderId="0" xfId="0" applyNumberFormat="1" applyFont="1"/>
    <xf numFmtId="165" fontId="10" fillId="0" borderId="0" xfId="0" applyNumberFormat="1" applyFont="1"/>
    <xf numFmtId="165" fontId="11" fillId="0" borderId="0" xfId="0" applyNumberFormat="1" applyFont="1"/>
    <xf numFmtId="166" fontId="10" fillId="0" borderId="0" xfId="0" applyNumberFormat="1" applyFont="1"/>
    <xf numFmtId="166" fontId="11" fillId="0" borderId="0" xfId="0" applyNumberFormat="1" applyFont="1"/>
    <xf numFmtId="167" fontId="11" fillId="0" borderId="0" xfId="0" applyNumberFormat="1" applyFont="1"/>
    <xf numFmtId="166" fontId="3" fillId="0" borderId="2" xfId="0" applyNumberFormat="1" applyFont="1" applyBorder="1"/>
    <xf numFmtId="164" fontId="4" fillId="0" borderId="0" xfId="0" applyNumberFormat="1" applyFont="1"/>
    <xf numFmtId="164" fontId="3" fillId="0" borderId="0" xfId="0" applyNumberFormat="1" applyFont="1"/>
    <xf numFmtId="164" fontId="12" fillId="0" borderId="0" xfId="0" applyNumberFormat="1" applyFont="1"/>
    <xf numFmtId="166" fontId="13" fillId="0" borderId="2" xfId="0" applyNumberFormat="1" applyFont="1" applyBorder="1"/>
    <xf numFmtId="166" fontId="12" fillId="0" borderId="2" xfId="0" applyNumberFormat="1" applyFont="1" applyBorder="1"/>
    <xf numFmtId="0" fontId="8" fillId="0" borderId="0" xfId="0" applyFont="1"/>
    <xf numFmtId="166" fontId="4" fillId="0" borderId="0" xfId="0" applyNumberFormat="1" applyFont="1"/>
    <xf numFmtId="166" fontId="12" fillId="0" borderId="0" xfId="0" applyNumberFormat="1" applyFont="1"/>
    <xf numFmtId="166" fontId="3" fillId="0" borderId="3" xfId="0" applyNumberFormat="1" applyFont="1" applyBorder="1"/>
    <xf numFmtId="167" fontId="10" fillId="0" borderId="0" xfId="0" applyNumberFormat="1" applyFont="1"/>
    <xf numFmtId="166" fontId="3" fillId="0" borderId="0" xfId="0" applyNumberFormat="1" applyFont="1"/>
    <xf numFmtId="0" fontId="16" fillId="3" borderId="0" xfId="0" applyFont="1" applyFill="1"/>
    <xf numFmtId="0" fontId="0" fillId="3" borderId="0" xfId="0"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C7D22"/>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ximiliano Ezequiel Gallego" id="{864BBBAC-BA36-42A7-AF61-A6B5CA347F90}" userId="S::62GA43097052@campus.economicas.uba.ar::dc42199e-4c45-41e9-9599-b15ddb489125"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9" dT="2026-05-19T14:43:38.96" personId="{864BBBAC-BA36-42A7-AF61-A6B5CA347F90}" id="{E07DEB33-B250-4121-856E-58668274E077}">
    <text xml:space="preserve">Nota sobre reconciliación: El saldo de caja reflejado en este modelo corresponde a Cash and cash equivalents según el Balance General ($2.615M al cierre de FY2025A), excluyendo el restricted cash ($329M). El Cash Flow Statement del 10-K reconcilia contra un saldo combinado de Cash, cash equivalents, and restricted cash. El restricted cash se excluye del modelo dado que no está libremente disponible para operaciones ni servicio de deuda, siendo inmaterial en relación al forecast global. El efecto del tipo de cambio sobre el saldo de caja (+$80M en FY2025A) se excluye de igual manera, en línea con el supuesto de que los efectos cambiarios sobre el cash proyectado no se modelan explícitamente. </text>
  </threadedComment>
</ThreadedComment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6"/>
  <sheetViews>
    <sheetView showGridLines="0" topLeftCell="A6" zoomScaleNormal="100" workbookViewId="0">
      <selection activeCell="C15" sqref="C15"/>
    </sheetView>
  </sheetViews>
  <sheetFormatPr baseColWidth="10" defaultColWidth="8.7109375" defaultRowHeight="15" x14ac:dyDescent="0.25"/>
  <cols>
    <col min="1" max="1" width="2" customWidth="1"/>
    <col min="2" max="2" width="35" customWidth="1"/>
    <col min="3" max="3" width="90" customWidth="1"/>
  </cols>
  <sheetData>
    <row r="2" spans="2:3" ht="23.25" x14ac:dyDescent="0.35">
      <c r="B2" s="1" t="s">
        <v>0</v>
      </c>
    </row>
    <row r="3" spans="2:3" ht="15.75" x14ac:dyDescent="0.25">
      <c r="B3" s="2" t="s">
        <v>225</v>
      </c>
    </row>
    <row r="5" spans="2:3" x14ac:dyDescent="0.25">
      <c r="B5" s="3" t="s">
        <v>1</v>
      </c>
    </row>
    <row r="7" spans="2:3" x14ac:dyDescent="0.25">
      <c r="B7" s="3" t="s">
        <v>221</v>
      </c>
      <c r="C7" s="4" t="s">
        <v>2</v>
      </c>
    </row>
    <row r="8" spans="2:3" x14ac:dyDescent="0.25">
      <c r="B8" s="3" t="s">
        <v>3</v>
      </c>
      <c r="C8" s="4" t="s">
        <v>222</v>
      </c>
    </row>
    <row r="9" spans="2:3" x14ac:dyDescent="0.25">
      <c r="B9" s="3" t="s">
        <v>4</v>
      </c>
      <c r="C9" s="4" t="s">
        <v>223</v>
      </c>
    </row>
    <row r="10" spans="2:3" x14ac:dyDescent="0.25">
      <c r="B10" s="3" t="s">
        <v>5</v>
      </c>
      <c r="C10" s="4" t="s">
        <v>224</v>
      </c>
    </row>
    <row r="11" spans="2:3" x14ac:dyDescent="0.25">
      <c r="B11" s="3" t="s">
        <v>6</v>
      </c>
      <c r="C11" s="4" t="s">
        <v>7</v>
      </c>
    </row>
    <row r="13" spans="2:3" x14ac:dyDescent="0.25">
      <c r="B13" s="5" t="s">
        <v>8</v>
      </c>
    </row>
    <row r="15" spans="2:3" x14ac:dyDescent="0.25">
      <c r="B15" s="3" t="s">
        <v>9</v>
      </c>
      <c r="C15" s="4" t="s">
        <v>10</v>
      </c>
    </row>
    <row r="16" spans="2:3" x14ac:dyDescent="0.25">
      <c r="B16" s="3" t="s">
        <v>11</v>
      </c>
      <c r="C16" s="4" t="s">
        <v>12</v>
      </c>
    </row>
    <row r="17" spans="2:3" x14ac:dyDescent="0.25">
      <c r="B17" s="3" t="s">
        <v>13</v>
      </c>
      <c r="C17" s="4" t="s">
        <v>14</v>
      </c>
    </row>
    <row r="18" spans="2:3" x14ac:dyDescent="0.25">
      <c r="B18" s="3" t="s">
        <v>15</v>
      </c>
      <c r="C18" s="4" t="s">
        <v>16</v>
      </c>
    </row>
    <row r="19" spans="2:3" x14ac:dyDescent="0.25">
      <c r="B19" s="3" t="s">
        <v>17</v>
      </c>
      <c r="C19" s="4" t="s">
        <v>18</v>
      </c>
    </row>
    <row r="20" spans="2:3" x14ac:dyDescent="0.25">
      <c r="B20" s="3" t="s">
        <v>19</v>
      </c>
      <c r="C20" s="4" t="s">
        <v>20</v>
      </c>
    </row>
    <row r="21" spans="2:3" x14ac:dyDescent="0.25">
      <c r="B21" s="3" t="s">
        <v>21</v>
      </c>
      <c r="C21" s="4" t="s">
        <v>22</v>
      </c>
    </row>
    <row r="22" spans="2:3" x14ac:dyDescent="0.25">
      <c r="B22" s="3" t="s">
        <v>23</v>
      </c>
      <c r="C22" s="4" t="s">
        <v>24</v>
      </c>
    </row>
    <row r="23" spans="2:3" x14ac:dyDescent="0.25">
      <c r="B23" s="3" t="s">
        <v>25</v>
      </c>
      <c r="C23" s="4" t="s">
        <v>26</v>
      </c>
    </row>
    <row r="24" spans="2:3" x14ac:dyDescent="0.25">
      <c r="B24" s="3" t="s">
        <v>27</v>
      </c>
      <c r="C24" s="4" t="s">
        <v>28</v>
      </c>
    </row>
    <row r="27" spans="2:3" x14ac:dyDescent="0.25">
      <c r="B27" s="5" t="s">
        <v>29</v>
      </c>
    </row>
    <row r="28" spans="2:3" x14ac:dyDescent="0.25">
      <c r="B28" s="6" t="s">
        <v>30</v>
      </c>
    </row>
    <row r="29" spans="2:3" x14ac:dyDescent="0.25">
      <c r="B29" s="6" t="s">
        <v>31</v>
      </c>
    </row>
    <row r="30" spans="2:3" x14ac:dyDescent="0.25">
      <c r="B30" s="6" t="s">
        <v>32</v>
      </c>
    </row>
    <row r="31" spans="2:3" x14ac:dyDescent="0.25">
      <c r="B31" s="6" t="s">
        <v>33</v>
      </c>
    </row>
    <row r="32" spans="2:3" x14ac:dyDescent="0.25">
      <c r="B32" s="6" t="s">
        <v>34</v>
      </c>
    </row>
    <row r="33" spans="2:2" x14ac:dyDescent="0.25">
      <c r="B33" s="6" t="s">
        <v>35</v>
      </c>
    </row>
    <row r="34" spans="2:2" x14ac:dyDescent="0.25">
      <c r="B34" s="6" t="s">
        <v>36</v>
      </c>
    </row>
    <row r="35" spans="2:2" x14ac:dyDescent="0.25">
      <c r="B35" s="6" t="s">
        <v>37</v>
      </c>
    </row>
    <row r="36" spans="2:2" x14ac:dyDescent="0.25">
      <c r="B36" s="6" t="s">
        <v>38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1"/>
  <sheetViews>
    <sheetView showGridLines="0" zoomScaleNormal="100" workbookViewId="0">
      <pane xSplit="1" ySplit="3" topLeftCell="B10" activePane="bottomRight" state="frozen"/>
      <selection pane="topRight" activeCell="B1" sqref="B1"/>
      <selection pane="bottomLeft" activeCell="A4" sqref="A4"/>
      <selection pane="bottomRight" activeCell="D34" sqref="D34"/>
    </sheetView>
  </sheetViews>
  <sheetFormatPr baseColWidth="10" defaultColWidth="8.7109375" defaultRowHeight="15" x14ac:dyDescent="0.25"/>
  <cols>
    <col min="1" max="1" width="46" customWidth="1"/>
    <col min="2" max="9" width="11" customWidth="1"/>
  </cols>
  <sheetData>
    <row r="1" spans="1:10" ht="15.75" x14ac:dyDescent="0.25">
      <c r="A1" s="7" t="s">
        <v>39</v>
      </c>
      <c r="B1" s="4"/>
      <c r="C1" s="4"/>
      <c r="D1" s="4"/>
      <c r="E1" s="4"/>
      <c r="F1" s="4"/>
      <c r="G1" s="4"/>
      <c r="H1" s="4"/>
      <c r="I1" s="4"/>
      <c r="J1" s="4"/>
    </row>
    <row r="2" spans="1:10" x14ac:dyDescent="0.25">
      <c r="A2" s="4"/>
      <c r="B2" s="4"/>
      <c r="C2" s="4"/>
      <c r="D2" s="4"/>
      <c r="E2" s="4"/>
      <c r="F2" s="4"/>
      <c r="G2" s="4"/>
      <c r="H2" s="4"/>
      <c r="I2" s="4"/>
      <c r="J2" s="4"/>
    </row>
    <row r="3" spans="1:10" x14ac:dyDescent="0.25">
      <c r="A3" s="8" t="s">
        <v>40</v>
      </c>
      <c r="B3" s="9" t="s">
        <v>41</v>
      </c>
      <c r="C3" s="9" t="s">
        <v>42</v>
      </c>
      <c r="D3" s="9" t="s">
        <v>43</v>
      </c>
      <c r="E3" s="9" t="s">
        <v>44</v>
      </c>
      <c r="F3" s="9" t="s">
        <v>45</v>
      </c>
      <c r="G3" s="9" t="s">
        <v>46</v>
      </c>
      <c r="H3" s="9" t="s">
        <v>47</v>
      </c>
      <c r="I3" s="9" t="s">
        <v>48</v>
      </c>
      <c r="J3" s="4"/>
    </row>
    <row r="4" spans="1:10" x14ac:dyDescent="0.25">
      <c r="A4" s="4"/>
      <c r="B4" s="4"/>
      <c r="C4" s="4"/>
      <c r="D4" s="4"/>
      <c r="E4" s="4"/>
      <c r="F4" s="4"/>
      <c r="G4" s="4"/>
      <c r="H4" s="4"/>
      <c r="I4" s="4"/>
      <c r="J4" s="4"/>
    </row>
    <row r="5" spans="1:10" x14ac:dyDescent="0.25">
      <c r="A5" s="10" t="s">
        <v>49</v>
      </c>
      <c r="B5" s="11"/>
      <c r="C5" s="11"/>
      <c r="D5" s="11"/>
      <c r="E5" s="11"/>
      <c r="F5" s="11"/>
      <c r="G5" s="11"/>
      <c r="H5" s="11"/>
      <c r="I5" s="11"/>
      <c r="J5" s="4"/>
    </row>
    <row r="6" spans="1:10" x14ac:dyDescent="0.25">
      <c r="A6" s="4" t="s">
        <v>50</v>
      </c>
      <c r="B6" s="4"/>
      <c r="C6" s="12">
        <f>Revenue!C6/Revenue!B6-1</f>
        <v>-2.8967504720262327E-2</v>
      </c>
      <c r="D6" s="12">
        <f>Revenue!D6/Revenue!C6-1</f>
        <v>-4.8968940285524232E-2</v>
      </c>
      <c r="E6" s="13">
        <v>-0.02</v>
      </c>
      <c r="F6" s="13">
        <v>5.0000000000000001E-3</v>
      </c>
      <c r="G6" s="13">
        <v>1.4999999999999999E-2</v>
      </c>
      <c r="H6" s="13">
        <v>0.02</v>
      </c>
      <c r="I6" s="13">
        <v>2.5000000000000001E-2</v>
      </c>
      <c r="J6" s="4"/>
    </row>
    <row r="7" spans="1:10" x14ac:dyDescent="0.25">
      <c r="A7" s="4" t="s">
        <v>51</v>
      </c>
      <c r="B7" s="4"/>
      <c r="C7" s="12">
        <f>Revenue!C7/Revenue!B7-1</f>
        <v>-2.4289263041678222E-2</v>
      </c>
      <c r="D7" s="12">
        <f>Revenue!D7/Revenue!C7-1</f>
        <v>1.1315417256010374E-3</v>
      </c>
      <c r="E7" s="13">
        <v>5.0000000000000001E-3</v>
      </c>
      <c r="F7" s="13">
        <v>1.4999999999999999E-2</v>
      </c>
      <c r="G7" s="13">
        <v>0.02</v>
      </c>
      <c r="H7" s="13">
        <v>2.5000000000000001E-2</v>
      </c>
      <c r="I7" s="13">
        <v>2.5000000000000001E-2</v>
      </c>
      <c r="J7" s="4"/>
    </row>
    <row r="8" spans="1:10" x14ac:dyDescent="0.25">
      <c r="A8" s="4" t="s">
        <v>52</v>
      </c>
      <c r="B8" s="4"/>
      <c r="C8" s="12">
        <f>Revenue!C8/Revenue!B8-1</f>
        <v>-4.2545831892078834E-2</v>
      </c>
      <c r="D8" s="12">
        <f>Revenue!D8/Revenue!C8-1</f>
        <v>1.7702312138728304E-2</v>
      </c>
      <c r="E8" s="13">
        <v>0.03</v>
      </c>
      <c r="F8" s="13">
        <v>0.04</v>
      </c>
      <c r="G8" s="13">
        <v>4.4999999999999998E-2</v>
      </c>
      <c r="H8" s="13">
        <v>0.05</v>
      </c>
      <c r="I8" s="13">
        <v>0.05</v>
      </c>
      <c r="J8" s="4"/>
    </row>
    <row r="9" spans="1:10" x14ac:dyDescent="0.25">
      <c r="A9" s="4"/>
      <c r="B9" s="4"/>
      <c r="C9" s="4"/>
      <c r="D9" s="4"/>
      <c r="E9" s="4"/>
      <c r="F9" s="4"/>
      <c r="G9" s="4"/>
      <c r="H9" s="4"/>
      <c r="I9" s="4"/>
      <c r="J9" s="4"/>
    </row>
    <row r="10" spans="1:10" x14ac:dyDescent="0.25">
      <c r="A10" s="10" t="s">
        <v>53</v>
      </c>
      <c r="B10" s="11"/>
      <c r="C10" s="11"/>
      <c r="D10" s="11"/>
      <c r="E10" s="11"/>
      <c r="F10" s="11"/>
      <c r="G10" s="11"/>
      <c r="H10" s="11"/>
      <c r="I10" s="11"/>
      <c r="J10" s="4"/>
    </row>
    <row r="11" spans="1:10" x14ac:dyDescent="0.25">
      <c r="A11" s="4" t="s">
        <v>54</v>
      </c>
      <c r="B11" s="12">
        <f>COGS!B6/Revenue!B6</f>
        <v>0.64334691443903413</v>
      </c>
      <c r="C11" s="12">
        <f>COGS!C6/Revenue!C6</f>
        <v>0.63224684030087497</v>
      </c>
      <c r="D11" s="12">
        <f>COGS!D6/Revenue!D6</f>
        <v>0.64973636070160334</v>
      </c>
      <c r="E11" s="13">
        <v>0.65</v>
      </c>
      <c r="F11" s="13">
        <v>0.64800000000000002</v>
      </c>
      <c r="G11" s="13">
        <v>0.64500000000000002</v>
      </c>
      <c r="H11" s="13">
        <v>0.64300000000000002</v>
      </c>
      <c r="I11" s="13">
        <v>0.64</v>
      </c>
      <c r="J11" s="4"/>
    </row>
    <row r="12" spans="1:10" x14ac:dyDescent="0.25">
      <c r="A12" s="4" t="s">
        <v>55</v>
      </c>
      <c r="B12" s="12">
        <f>COGS!B7/Revenue!B7</f>
        <v>0.71211703008556448</v>
      </c>
      <c r="C12" s="12">
        <f>COGS!C7/Revenue!C7</f>
        <v>0.70212164073550209</v>
      </c>
      <c r="D12" s="12">
        <f>COGS!D7/Revenue!D7</f>
        <v>0.70556654422153153</v>
      </c>
      <c r="E12" s="13">
        <v>0.70499999999999996</v>
      </c>
      <c r="F12" s="13">
        <v>0.70199999999999996</v>
      </c>
      <c r="G12" s="13">
        <v>0.7</v>
      </c>
      <c r="H12" s="13">
        <v>0.69799999999999995</v>
      </c>
      <c r="I12" s="13">
        <v>0.69499999999999995</v>
      </c>
      <c r="J12" s="4"/>
    </row>
    <row r="13" spans="1:10" x14ac:dyDescent="0.25">
      <c r="A13" s="4" t="s">
        <v>56</v>
      </c>
      <c r="B13" s="12">
        <f>COGS!B8/Revenue!B8</f>
        <v>0.7561397440332065</v>
      </c>
      <c r="C13" s="12">
        <f>COGS!C8/Revenue!C8</f>
        <v>0.73699421965317924</v>
      </c>
      <c r="D13" s="12">
        <f>COGS!D8/Revenue!D8</f>
        <v>0.73127440539581112</v>
      </c>
      <c r="E13" s="13">
        <v>0.73</v>
      </c>
      <c r="F13" s="13">
        <v>0.72799999999999998</v>
      </c>
      <c r="G13" s="13">
        <v>0.72499999999999998</v>
      </c>
      <c r="H13" s="13">
        <v>0.72299999999999998</v>
      </c>
      <c r="I13" s="13">
        <v>0.72</v>
      </c>
      <c r="J13" s="4"/>
    </row>
    <row r="14" spans="1:10" x14ac:dyDescent="0.25">
      <c r="A14" s="4"/>
      <c r="B14" s="4"/>
      <c r="C14" s="4"/>
      <c r="D14" s="4"/>
      <c r="E14" s="4"/>
      <c r="F14" s="4"/>
      <c r="G14" s="4"/>
      <c r="H14" s="4"/>
      <c r="I14" s="4"/>
      <c r="J14" s="4"/>
    </row>
    <row r="15" spans="1:10" x14ac:dyDescent="0.25">
      <c r="A15" s="10" t="s">
        <v>57</v>
      </c>
      <c r="B15" s="11"/>
      <c r="C15" s="11"/>
      <c r="D15" s="11"/>
      <c r="E15" s="11"/>
      <c r="F15" s="11"/>
      <c r="G15" s="11"/>
      <c r="H15" s="11"/>
      <c r="I15" s="11"/>
      <c r="J15" s="4"/>
    </row>
    <row r="16" spans="1:10" x14ac:dyDescent="0.25">
      <c r="A16" s="4" t="s">
        <v>58</v>
      </c>
      <c r="B16" s="4"/>
      <c r="C16" s="12">
        <f>OpEx!C6/OpEx!B6-1</f>
        <v>-2.0585048754062862E-2</v>
      </c>
      <c r="D16" s="12">
        <f>OpEx!D6/OpEx!C6-1</f>
        <v>1.5486725663716783E-2</v>
      </c>
      <c r="E16" s="13">
        <v>1.4999999999999999E-2</v>
      </c>
      <c r="F16" s="13">
        <v>0.02</v>
      </c>
      <c r="G16" s="13">
        <v>0.02</v>
      </c>
      <c r="H16" s="13">
        <v>2.5000000000000001E-2</v>
      </c>
      <c r="I16" s="13">
        <v>2.5000000000000001E-2</v>
      </c>
      <c r="J16" s="4"/>
    </row>
    <row r="17" spans="1:10" x14ac:dyDescent="0.25">
      <c r="A17" s="4" t="s">
        <v>59</v>
      </c>
      <c r="B17" s="12">
        <f>OpEx!B6/Revenue!B10</f>
        <v>0.13858858858858858</v>
      </c>
      <c r="C17" s="12">
        <f>OpEx!C6/Revenue!C10</f>
        <v>0.13990559467615879</v>
      </c>
      <c r="D17" s="12">
        <f>OpEx!D6/Revenue!D10</f>
        <v>0.14722155400529227</v>
      </c>
      <c r="E17" s="12">
        <f>OpEx!E6/Revenue!E10</f>
        <v>0.15106220552976318</v>
      </c>
      <c r="F17" s="12">
        <f>OpEx!F6/Revenue!F10</f>
        <v>0.15247369339130074</v>
      </c>
      <c r="G17" s="12">
        <f>OpEx!G6/Revenue!G10</f>
        <v>0.15257020600423465</v>
      </c>
      <c r="H17" s="12">
        <f>OpEx!H6/Revenue!H10</f>
        <v>0.1526526274698464</v>
      </c>
      <c r="I17" s="12">
        <f>OpEx!I6/Revenue!I10</f>
        <v>0.15218061893674567</v>
      </c>
      <c r="J17" s="4"/>
    </row>
    <row r="18" spans="1:10" x14ac:dyDescent="0.25">
      <c r="A18" s="4"/>
      <c r="B18" s="4"/>
      <c r="C18" s="4"/>
      <c r="D18" s="4"/>
      <c r="E18" s="4"/>
      <c r="F18" s="4"/>
      <c r="G18" s="4"/>
      <c r="H18" s="4"/>
      <c r="I18" s="4"/>
      <c r="J18" s="4"/>
    </row>
    <row r="19" spans="1:10" x14ac:dyDescent="0.25">
      <c r="A19" s="10" t="s">
        <v>60</v>
      </c>
      <c r="B19" s="11"/>
      <c r="C19" s="11"/>
      <c r="D19" s="11"/>
      <c r="E19" s="11"/>
      <c r="F19" s="11"/>
      <c r="G19" s="11"/>
      <c r="H19" s="11"/>
      <c r="I19" s="11"/>
      <c r="J19" s="4"/>
    </row>
    <row r="20" spans="1:10" x14ac:dyDescent="0.25">
      <c r="A20" s="4" t="s">
        <v>61</v>
      </c>
      <c r="B20" s="4"/>
      <c r="C20" s="14">
        <f>NWC!C11</f>
        <v>30.320165596223784</v>
      </c>
      <c r="D20" s="14">
        <f>NWC!D11</f>
        <v>32.984925026060459</v>
      </c>
      <c r="E20" s="15">
        <v>33</v>
      </c>
      <c r="F20" s="15">
        <v>33</v>
      </c>
      <c r="G20" s="15">
        <v>33</v>
      </c>
      <c r="H20" s="15">
        <v>33</v>
      </c>
      <c r="I20" s="15">
        <v>33</v>
      </c>
      <c r="J20" s="4"/>
    </row>
    <row r="21" spans="1:10" x14ac:dyDescent="0.25">
      <c r="A21" s="4" t="s">
        <v>62</v>
      </c>
      <c r="B21" s="4"/>
      <c r="C21" s="14">
        <f>NWC!C12</f>
        <v>73.00865031401824</v>
      </c>
      <c r="D21" s="14">
        <f>NWC!D12</f>
        <v>69.497685324355189</v>
      </c>
      <c r="E21" s="15">
        <v>69</v>
      </c>
      <c r="F21" s="15">
        <v>68</v>
      </c>
      <c r="G21" s="15">
        <v>68</v>
      </c>
      <c r="H21" s="15">
        <v>67</v>
      </c>
      <c r="I21" s="15">
        <v>67</v>
      </c>
      <c r="J21" s="4"/>
    </row>
    <row r="22" spans="1:10" x14ac:dyDescent="0.25">
      <c r="A22" s="4" t="s">
        <v>63</v>
      </c>
      <c r="B22" s="4"/>
      <c r="C22" s="14">
        <f>NWC!C13</f>
        <v>90.568787771062915</v>
      </c>
      <c r="D22" s="14">
        <f>NWC!D13</f>
        <v>94.5361630493597</v>
      </c>
      <c r="E22" s="15">
        <v>95</v>
      </c>
      <c r="F22" s="15">
        <v>95</v>
      </c>
      <c r="G22" s="15">
        <v>95</v>
      </c>
      <c r="H22" s="15">
        <v>95</v>
      </c>
      <c r="I22" s="15">
        <v>95</v>
      </c>
      <c r="J22" s="4"/>
    </row>
    <row r="23" spans="1:10" x14ac:dyDescent="0.25">
      <c r="A23" s="4"/>
      <c r="B23" s="4"/>
      <c r="C23" s="4"/>
      <c r="D23" s="4"/>
      <c r="E23" s="4"/>
      <c r="F23" s="4"/>
      <c r="G23" s="4"/>
      <c r="H23" s="4"/>
      <c r="I23" s="4"/>
      <c r="J23" s="4"/>
    </row>
    <row r="24" spans="1:10" x14ac:dyDescent="0.25">
      <c r="A24" s="10" t="s">
        <v>64</v>
      </c>
      <c r="B24" s="11"/>
      <c r="C24" s="11"/>
      <c r="D24" s="11"/>
      <c r="E24" s="11"/>
      <c r="F24" s="11"/>
      <c r="G24" s="11"/>
      <c r="H24" s="11"/>
      <c r="I24" s="11"/>
      <c r="J24" s="4"/>
    </row>
    <row r="25" spans="1:10" x14ac:dyDescent="0.25">
      <c r="A25" s="4" t="s">
        <v>65</v>
      </c>
      <c r="B25" s="12">
        <f>CapEx_DA!B6/Revenue!B10</f>
        <v>2.2672672672672672E-2</v>
      </c>
      <c r="C25" s="12">
        <f>CapEx_DA!C6/Revenue!C10</f>
        <v>2.4878124274549253E-2</v>
      </c>
      <c r="D25" s="12">
        <f>CapEx_DA!D6/Revenue!D10</f>
        <v>1.9926228850934168E-2</v>
      </c>
      <c r="E25" s="13">
        <v>3.4000000000000002E-2</v>
      </c>
      <c r="F25" s="13">
        <v>3.4000000000000002E-2</v>
      </c>
      <c r="G25" s="13">
        <v>3.3000000000000002E-2</v>
      </c>
      <c r="H25" s="13">
        <v>3.3000000000000002E-2</v>
      </c>
      <c r="I25" s="13">
        <v>3.2000000000000001E-2</v>
      </c>
      <c r="J25" s="4"/>
    </row>
    <row r="26" spans="1:10" x14ac:dyDescent="0.25">
      <c r="A26" s="4" t="s">
        <v>66</v>
      </c>
      <c r="B26" s="12">
        <f>CapEx_DA!B13/Revenue!B10</f>
        <v>2.6651651651651651E-2</v>
      </c>
      <c r="C26" s="12">
        <f>CapEx_DA!C13/Revenue!C10</f>
        <v>2.6928731718641182E-2</v>
      </c>
      <c r="D26" s="12">
        <f>CapEx_DA!D13/Revenue!D10</f>
        <v>2.8947157405180019E-2</v>
      </c>
      <c r="E26" s="13">
        <v>2.9000000000000001E-2</v>
      </c>
      <c r="F26" s="13">
        <v>2.9000000000000001E-2</v>
      </c>
      <c r="G26" s="13">
        <v>2.8000000000000001E-2</v>
      </c>
      <c r="H26" s="13">
        <v>2.8000000000000001E-2</v>
      </c>
      <c r="I26" s="13">
        <v>2.7E-2</v>
      </c>
      <c r="J26" s="4"/>
    </row>
    <row r="27" spans="1:10" x14ac:dyDescent="0.25">
      <c r="A27" s="4" t="s">
        <v>67</v>
      </c>
      <c r="B27" s="16">
        <f>CapEx_DA!B14</f>
        <v>251</v>
      </c>
      <c r="C27" s="16">
        <f>CapEx_DA!C14</f>
        <v>252</v>
      </c>
      <c r="D27" s="16">
        <f>CapEx_DA!D14</f>
        <v>246</v>
      </c>
      <c r="E27" s="17">
        <v>250</v>
      </c>
      <c r="F27" s="17">
        <v>250</v>
      </c>
      <c r="G27" s="17">
        <v>250</v>
      </c>
      <c r="H27" s="17">
        <v>250</v>
      </c>
      <c r="I27" s="17">
        <v>250</v>
      </c>
      <c r="J27" s="4"/>
    </row>
    <row r="28" spans="1:10" x14ac:dyDescent="0.25">
      <c r="A28" s="4"/>
      <c r="B28" s="4"/>
      <c r="C28" s="4"/>
      <c r="D28" s="4"/>
      <c r="E28" s="4"/>
      <c r="F28" s="4"/>
      <c r="G28" s="4"/>
      <c r="H28" s="4"/>
      <c r="I28" s="4"/>
      <c r="J28" s="4"/>
    </row>
    <row r="29" spans="1:10" x14ac:dyDescent="0.25">
      <c r="A29" s="10" t="s">
        <v>68</v>
      </c>
      <c r="B29" s="11"/>
      <c r="C29" s="11"/>
      <c r="D29" s="11"/>
      <c r="E29" s="11"/>
      <c r="F29" s="11"/>
      <c r="G29" s="11"/>
      <c r="H29" s="11"/>
      <c r="I29" s="11"/>
      <c r="J29" s="4"/>
    </row>
    <row r="30" spans="1:10" x14ac:dyDescent="0.25">
      <c r="A30" s="4" t="s">
        <v>69</v>
      </c>
      <c r="B30" s="4"/>
      <c r="C30" s="4"/>
      <c r="D30" s="12">
        <f>Debt!D18/Debt!D17</f>
        <v>4.6096183800623053E-2</v>
      </c>
      <c r="E30" s="13">
        <v>4.5999999999999999E-2</v>
      </c>
      <c r="F30" s="13">
        <v>4.5999999999999999E-2</v>
      </c>
      <c r="G30" s="13">
        <v>4.5999999999999999E-2</v>
      </c>
      <c r="H30" s="13">
        <v>4.5999999999999999E-2</v>
      </c>
      <c r="I30" s="13">
        <v>4.5999999999999999E-2</v>
      </c>
      <c r="J30" s="4"/>
    </row>
    <row r="31" spans="1:10" x14ac:dyDescent="0.25">
      <c r="A31" s="4" t="s">
        <v>70</v>
      </c>
      <c r="B31" s="4"/>
      <c r="C31" s="4"/>
      <c r="D31" s="4"/>
      <c r="E31" s="13">
        <v>1</v>
      </c>
      <c r="F31" s="13">
        <v>1</v>
      </c>
      <c r="G31" s="13">
        <v>1</v>
      </c>
      <c r="H31" s="13">
        <v>1</v>
      </c>
      <c r="I31" s="13">
        <v>1</v>
      </c>
      <c r="J31" s="4"/>
    </row>
    <row r="32" spans="1:10" x14ac:dyDescent="0.25">
      <c r="A32" s="4"/>
      <c r="B32" s="4"/>
      <c r="C32" s="4"/>
      <c r="D32" s="4"/>
      <c r="E32" s="4"/>
      <c r="F32" s="4"/>
      <c r="G32" s="4"/>
      <c r="H32" s="4"/>
      <c r="I32" s="4"/>
      <c r="J32" s="4"/>
    </row>
    <row r="33" spans="1:10" x14ac:dyDescent="0.25">
      <c r="A33" s="10" t="s">
        <v>71</v>
      </c>
      <c r="B33" s="11"/>
      <c r="C33" s="11"/>
      <c r="D33" s="11"/>
      <c r="E33" s="11"/>
      <c r="F33" s="11"/>
      <c r="G33" s="11"/>
      <c r="H33" s="11"/>
      <c r="I33" s="11"/>
      <c r="J33" s="4"/>
    </row>
    <row r="34" spans="1:10" x14ac:dyDescent="0.25">
      <c r="A34" s="4" t="s">
        <v>72</v>
      </c>
      <c r="B34" s="12">
        <f>IF(IS!B16&lt;&gt;0, IS!B17/IS!B16, 0)</f>
        <v>0.21662537847508945</v>
      </c>
      <c r="C34" s="12">
        <f>IF(IS!C16&lt;&gt;0, IS!C17/IS!C16, 0)</f>
        <v>-2.207943925233645</v>
      </c>
      <c r="D34" s="12">
        <f>IF(IS!D16&lt;&gt;0, IS!D17/IS!D16, 0)</f>
        <v>-7.4012855831037644E-2</v>
      </c>
      <c r="E34" s="13">
        <v>0.25</v>
      </c>
      <c r="F34" s="13">
        <v>0.25</v>
      </c>
      <c r="G34" s="13">
        <v>0.25</v>
      </c>
      <c r="H34" s="13">
        <v>0.25</v>
      </c>
      <c r="I34" s="13">
        <v>0.25</v>
      </c>
      <c r="J34" s="4"/>
    </row>
    <row r="35" spans="1:10" x14ac:dyDescent="0.25">
      <c r="A35" s="4" t="s">
        <v>73</v>
      </c>
      <c r="B35" s="4"/>
      <c r="C35" s="4"/>
      <c r="D35" s="4"/>
      <c r="E35" s="17">
        <v>-100</v>
      </c>
      <c r="F35" s="17">
        <v>-100</v>
      </c>
      <c r="G35" s="17">
        <v>-100</v>
      </c>
      <c r="H35" s="17">
        <v>-100</v>
      </c>
      <c r="I35" s="17">
        <v>-100</v>
      </c>
      <c r="J35" s="4"/>
    </row>
    <row r="36" spans="1:10" x14ac:dyDescent="0.25">
      <c r="A36" s="4" t="s">
        <v>74</v>
      </c>
      <c r="B36" s="4"/>
      <c r="C36" s="4"/>
      <c r="D36" s="4"/>
      <c r="E36" s="18">
        <v>1.6</v>
      </c>
      <c r="F36" s="18">
        <v>1.6</v>
      </c>
      <c r="G36" s="18">
        <v>1.6</v>
      </c>
      <c r="H36" s="18">
        <v>1.6</v>
      </c>
      <c r="I36" s="18">
        <v>1.6</v>
      </c>
      <c r="J36" s="4"/>
    </row>
    <row r="37" spans="1:10" x14ac:dyDescent="0.25">
      <c r="A37" s="4" t="s">
        <v>75</v>
      </c>
      <c r="B37" s="4"/>
      <c r="C37" s="4"/>
      <c r="D37" s="4"/>
      <c r="E37" s="17">
        <v>1184</v>
      </c>
      <c r="F37" s="17">
        <v>1184</v>
      </c>
      <c r="G37" s="17">
        <v>1184</v>
      </c>
      <c r="H37" s="17">
        <v>1184</v>
      </c>
      <c r="I37" s="17">
        <v>1184</v>
      </c>
      <c r="J37" s="4"/>
    </row>
    <row r="38" spans="1:10" x14ac:dyDescent="0.25">
      <c r="A38" s="4" t="s">
        <v>76</v>
      </c>
      <c r="B38" s="4"/>
      <c r="C38" s="4"/>
      <c r="D38" s="4"/>
      <c r="E38" s="17">
        <v>500</v>
      </c>
      <c r="F38" s="17">
        <v>500</v>
      </c>
      <c r="G38" s="17">
        <v>500</v>
      </c>
      <c r="H38" s="17">
        <v>500</v>
      </c>
      <c r="I38" s="17">
        <v>500</v>
      </c>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7109375" defaultRowHeight="15" x14ac:dyDescent="0.25"/>
  <cols>
    <col min="1" max="1" width="46" customWidth="1"/>
    <col min="2" max="9" width="11" customWidth="1"/>
  </cols>
  <sheetData>
    <row r="1" spans="1:10" ht="15.75" x14ac:dyDescent="0.25">
      <c r="A1" s="7" t="s">
        <v>77</v>
      </c>
      <c r="B1" s="4"/>
      <c r="C1" s="4"/>
      <c r="D1" s="4"/>
      <c r="E1" s="4"/>
      <c r="F1" s="4"/>
      <c r="G1" s="4"/>
      <c r="H1" s="4"/>
      <c r="I1" s="4"/>
      <c r="J1" s="4"/>
    </row>
    <row r="2" spans="1:10" x14ac:dyDescent="0.25">
      <c r="A2" s="4"/>
      <c r="B2" s="4"/>
      <c r="C2" s="4"/>
      <c r="D2" s="4"/>
      <c r="E2" s="4"/>
      <c r="F2" s="4"/>
      <c r="G2" s="4"/>
      <c r="H2" s="4"/>
      <c r="I2" s="4"/>
      <c r="J2" s="4"/>
    </row>
    <row r="3" spans="1:10" x14ac:dyDescent="0.25">
      <c r="A3" s="8" t="s">
        <v>40</v>
      </c>
      <c r="B3" s="9" t="s">
        <v>41</v>
      </c>
      <c r="C3" s="9" t="s">
        <v>42</v>
      </c>
      <c r="D3" s="9" t="s">
        <v>43</v>
      </c>
      <c r="E3" s="9" t="s">
        <v>44</v>
      </c>
      <c r="F3" s="9" t="s">
        <v>45</v>
      </c>
      <c r="G3" s="9" t="s">
        <v>46</v>
      </c>
      <c r="H3" s="9" t="s">
        <v>47</v>
      </c>
      <c r="I3" s="9" t="s">
        <v>48</v>
      </c>
      <c r="J3" s="4"/>
    </row>
    <row r="4" spans="1:10" x14ac:dyDescent="0.25">
      <c r="A4" s="4"/>
      <c r="B4" s="4"/>
      <c r="C4" s="4"/>
      <c r="D4" s="4"/>
      <c r="E4" s="4"/>
      <c r="F4" s="4"/>
      <c r="G4" s="4"/>
      <c r="H4" s="4"/>
      <c r="I4" s="4"/>
      <c r="J4" s="4"/>
    </row>
    <row r="5" spans="1:10" x14ac:dyDescent="0.25">
      <c r="A5" s="10" t="s">
        <v>78</v>
      </c>
      <c r="B5" s="11"/>
      <c r="C5" s="11"/>
      <c r="D5" s="11"/>
      <c r="E5" s="11"/>
      <c r="F5" s="11"/>
      <c r="G5" s="11"/>
      <c r="H5" s="11"/>
      <c r="I5" s="11"/>
      <c r="J5" s="4"/>
    </row>
    <row r="6" spans="1:10" x14ac:dyDescent="0.25">
      <c r="A6" s="4" t="s">
        <v>79</v>
      </c>
      <c r="B6" s="17">
        <v>20126</v>
      </c>
      <c r="C6" s="17">
        <v>19543</v>
      </c>
      <c r="D6" s="17">
        <v>18586</v>
      </c>
      <c r="E6" s="16">
        <f>D6*(1+Assumptions!E6)</f>
        <v>18214.28</v>
      </c>
      <c r="F6" s="16">
        <f>E6*(1+Assumptions!F6)</f>
        <v>18305.351399999996</v>
      </c>
      <c r="G6" s="16">
        <f>F6*(1+Assumptions!G6)</f>
        <v>18579.931670999995</v>
      </c>
      <c r="H6" s="16">
        <f>G6*(1+Assumptions!H6)</f>
        <v>18951.530304419994</v>
      </c>
      <c r="I6" s="16">
        <f>H6*(1+Assumptions!I6)</f>
        <v>19425.31856203049</v>
      </c>
      <c r="J6" s="4"/>
    </row>
    <row r="7" spans="1:10" x14ac:dyDescent="0.25">
      <c r="A7" s="4" t="s">
        <v>80</v>
      </c>
      <c r="B7" s="17">
        <v>3623</v>
      </c>
      <c r="C7" s="17">
        <v>3535</v>
      </c>
      <c r="D7" s="17">
        <v>3539</v>
      </c>
      <c r="E7" s="16">
        <f>D7*(1+Assumptions!E7)</f>
        <v>3556.6949999999997</v>
      </c>
      <c r="F7" s="16">
        <f>E7*(1+Assumptions!F7)</f>
        <v>3610.0454249999993</v>
      </c>
      <c r="G7" s="16">
        <f>F7*(1+Assumptions!G7)</f>
        <v>3682.2463334999993</v>
      </c>
      <c r="H7" s="16">
        <f>G7*(1+Assumptions!H7)</f>
        <v>3774.302491837499</v>
      </c>
      <c r="I7" s="16">
        <f>H7*(1+Assumptions!I7)</f>
        <v>3868.660054133436</v>
      </c>
      <c r="J7" s="4"/>
    </row>
    <row r="8" spans="1:10" x14ac:dyDescent="0.25">
      <c r="A8" s="4" t="s">
        <v>81</v>
      </c>
      <c r="B8" s="17">
        <v>2891</v>
      </c>
      <c r="C8" s="17">
        <v>2768</v>
      </c>
      <c r="D8" s="17">
        <v>2817</v>
      </c>
      <c r="E8" s="16">
        <f>D8*(1+Assumptions!E8)</f>
        <v>2901.51</v>
      </c>
      <c r="F8" s="16">
        <f>E8*(1+Assumptions!F8)</f>
        <v>3017.5704000000005</v>
      </c>
      <c r="G8" s="16">
        <f>F8*(1+Assumptions!G8)</f>
        <v>3153.3610680000002</v>
      </c>
      <c r="H8" s="16">
        <f>G8*(1+Assumptions!H8)</f>
        <v>3311.0291214000003</v>
      </c>
      <c r="I8" s="16">
        <f>H8*(1+Assumptions!I8)</f>
        <v>3476.5805774700007</v>
      </c>
      <c r="J8" s="4"/>
    </row>
    <row r="9" spans="1:10" x14ac:dyDescent="0.25">
      <c r="A9" s="4"/>
      <c r="B9" s="4"/>
      <c r="C9" s="4"/>
      <c r="D9" s="4"/>
      <c r="E9" s="4"/>
      <c r="F9" s="4"/>
      <c r="G9" s="4"/>
      <c r="H9" s="4"/>
      <c r="I9" s="4"/>
      <c r="J9" s="4"/>
    </row>
    <row r="10" spans="1:10" x14ac:dyDescent="0.25">
      <c r="A10" s="3" t="s">
        <v>82</v>
      </c>
      <c r="B10" s="19">
        <f t="shared" ref="B10:I10" si="0">SUM(B6:B8)</f>
        <v>26640</v>
      </c>
      <c r="C10" s="19">
        <f t="shared" si="0"/>
        <v>25846</v>
      </c>
      <c r="D10" s="19">
        <f t="shared" si="0"/>
        <v>24942</v>
      </c>
      <c r="E10" s="19">
        <f t="shared" si="0"/>
        <v>24672.485000000001</v>
      </c>
      <c r="F10" s="19">
        <f t="shared" si="0"/>
        <v>24932.967224999997</v>
      </c>
      <c r="G10" s="19">
        <f t="shared" si="0"/>
        <v>25415.539072499996</v>
      </c>
      <c r="H10" s="19">
        <f t="shared" si="0"/>
        <v>26036.86191765749</v>
      </c>
      <c r="I10" s="19">
        <f t="shared" si="0"/>
        <v>26770.55919363393</v>
      </c>
      <c r="J10" s="4"/>
    </row>
    <row r="11" spans="1:10" x14ac:dyDescent="0.25">
      <c r="A11" s="4"/>
      <c r="B11" s="4"/>
      <c r="C11" s="4"/>
      <c r="D11" s="4"/>
      <c r="E11" s="4"/>
      <c r="F11" s="4"/>
      <c r="G11" s="4"/>
      <c r="H11" s="4"/>
      <c r="I11" s="4"/>
      <c r="J11" s="4"/>
    </row>
    <row r="12" spans="1:10" x14ac:dyDescent="0.25">
      <c r="A12" s="10" t="s">
        <v>83</v>
      </c>
      <c r="B12" s="11"/>
      <c r="C12" s="11"/>
      <c r="D12" s="11"/>
      <c r="E12" s="11"/>
      <c r="F12" s="11"/>
      <c r="G12" s="11"/>
      <c r="H12" s="11"/>
      <c r="I12" s="11"/>
      <c r="J12" s="4"/>
    </row>
    <row r="13" spans="1:10" x14ac:dyDescent="0.25">
      <c r="A13" s="4" t="s">
        <v>79</v>
      </c>
      <c r="B13" s="4"/>
      <c r="C13" s="20">
        <f t="shared" ref="C13:I15" si="1">C6/B6-1</f>
        <v>-2.8967504720262327E-2</v>
      </c>
      <c r="D13" s="20">
        <f t="shared" si="1"/>
        <v>-4.8968940285524232E-2</v>
      </c>
      <c r="E13" s="20">
        <f t="shared" si="1"/>
        <v>-2.0000000000000018E-2</v>
      </c>
      <c r="F13" s="20">
        <f t="shared" si="1"/>
        <v>4.9999999999998934E-3</v>
      </c>
      <c r="G13" s="20">
        <f t="shared" si="1"/>
        <v>1.4999999999999902E-2</v>
      </c>
      <c r="H13" s="20">
        <f t="shared" si="1"/>
        <v>2.0000000000000018E-2</v>
      </c>
      <c r="I13" s="20">
        <f t="shared" si="1"/>
        <v>2.4999999999999911E-2</v>
      </c>
      <c r="J13" s="4"/>
    </row>
    <row r="14" spans="1:10" x14ac:dyDescent="0.25">
      <c r="A14" s="4" t="s">
        <v>80</v>
      </c>
      <c r="B14" s="4"/>
      <c r="C14" s="20">
        <f t="shared" si="1"/>
        <v>-2.4289263041678222E-2</v>
      </c>
      <c r="D14" s="20">
        <f t="shared" si="1"/>
        <v>1.1315417256010374E-3</v>
      </c>
      <c r="E14" s="20">
        <f t="shared" si="1"/>
        <v>4.9999999999998934E-3</v>
      </c>
      <c r="F14" s="20">
        <f t="shared" si="1"/>
        <v>1.4999999999999902E-2</v>
      </c>
      <c r="G14" s="20">
        <f t="shared" si="1"/>
        <v>2.0000000000000018E-2</v>
      </c>
      <c r="H14" s="20">
        <f t="shared" si="1"/>
        <v>2.4999999999999911E-2</v>
      </c>
      <c r="I14" s="20">
        <f t="shared" si="1"/>
        <v>2.4999999999999911E-2</v>
      </c>
      <c r="J14" s="4"/>
    </row>
    <row r="15" spans="1:10" x14ac:dyDescent="0.25">
      <c r="A15" s="4" t="s">
        <v>81</v>
      </c>
      <c r="B15" s="4"/>
      <c r="C15" s="20">
        <f t="shared" si="1"/>
        <v>-4.2545831892078834E-2</v>
      </c>
      <c r="D15" s="20">
        <f t="shared" si="1"/>
        <v>1.7702312138728304E-2</v>
      </c>
      <c r="E15" s="20">
        <f t="shared" si="1"/>
        <v>3.0000000000000027E-2</v>
      </c>
      <c r="F15" s="20">
        <f t="shared" si="1"/>
        <v>4.0000000000000036E-2</v>
      </c>
      <c r="G15" s="20">
        <f t="shared" si="1"/>
        <v>4.4999999999999929E-2</v>
      </c>
      <c r="H15" s="20">
        <f t="shared" si="1"/>
        <v>5.0000000000000044E-2</v>
      </c>
      <c r="I15" s="20">
        <f t="shared" si="1"/>
        <v>5.0000000000000044E-2</v>
      </c>
      <c r="J15" s="4"/>
    </row>
    <row r="16" spans="1:10" x14ac:dyDescent="0.25">
      <c r="A16" s="3" t="s">
        <v>84</v>
      </c>
      <c r="B16" s="4"/>
      <c r="C16" s="21">
        <f t="shared" ref="C16:I16" si="2">C10/B10-1</f>
        <v>-2.9804804804804852E-2</v>
      </c>
      <c r="D16" s="21">
        <f t="shared" si="2"/>
        <v>-3.4976398669039677E-2</v>
      </c>
      <c r="E16" s="21">
        <f t="shared" si="2"/>
        <v>-1.0805669152433639E-2</v>
      </c>
      <c r="F16" s="21">
        <f t="shared" si="2"/>
        <v>1.0557599893160186E-2</v>
      </c>
      <c r="G16" s="21">
        <f t="shared" si="2"/>
        <v>1.9354770057858683E-2</v>
      </c>
      <c r="H16" s="21">
        <f t="shared" si="2"/>
        <v>2.4446573546408557E-2</v>
      </c>
      <c r="I16" s="21">
        <f t="shared" si="2"/>
        <v>2.8179174521752337E-2</v>
      </c>
      <c r="J16" s="4"/>
    </row>
    <row r="17" spans="1:10" x14ac:dyDescent="0.25">
      <c r="A17" s="4"/>
      <c r="B17" s="4"/>
      <c r="C17" s="4"/>
      <c r="D17" s="4"/>
      <c r="E17" s="4"/>
      <c r="F17" s="4"/>
      <c r="G17" s="4"/>
      <c r="H17" s="4"/>
      <c r="I17" s="4"/>
      <c r="J17" s="4"/>
    </row>
    <row r="18" spans="1:10" x14ac:dyDescent="0.25">
      <c r="A18" s="4"/>
      <c r="B18" s="4"/>
      <c r="C18" s="4"/>
      <c r="D18" s="4"/>
      <c r="E18" s="4"/>
      <c r="F18" s="4"/>
      <c r="G18" s="4"/>
      <c r="H18" s="4"/>
      <c r="I18" s="4"/>
      <c r="J18" s="4"/>
    </row>
    <row r="19" spans="1:10" x14ac:dyDescent="0.25">
      <c r="A19" s="4"/>
      <c r="B19" s="4"/>
      <c r="C19" s="4"/>
      <c r="D19" s="4"/>
      <c r="E19" s="4"/>
      <c r="F19" s="4"/>
      <c r="G19" s="4"/>
      <c r="H19" s="4"/>
      <c r="I19" s="4"/>
      <c r="J19" s="4"/>
    </row>
    <row r="20" spans="1:10" x14ac:dyDescent="0.25">
      <c r="A20" s="4"/>
      <c r="B20" s="4"/>
      <c r="C20" s="4"/>
      <c r="D20" s="4"/>
      <c r="E20" s="4"/>
      <c r="F20" s="4"/>
      <c r="G20" s="4"/>
      <c r="H20" s="4"/>
      <c r="I20" s="4"/>
      <c r="J20" s="4"/>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7109375" defaultRowHeight="15" x14ac:dyDescent="0.25"/>
  <cols>
    <col min="1" max="1" width="46" customWidth="1"/>
    <col min="2" max="9" width="11" customWidth="1"/>
  </cols>
  <sheetData>
    <row r="1" spans="1:10" ht="15.75" x14ac:dyDescent="0.25">
      <c r="A1" s="7" t="s">
        <v>85</v>
      </c>
      <c r="B1" s="4"/>
      <c r="C1" s="4"/>
      <c r="D1" s="4"/>
      <c r="E1" s="4"/>
      <c r="F1" s="4"/>
      <c r="G1" s="4"/>
      <c r="H1" s="4"/>
      <c r="I1" s="4"/>
      <c r="J1" s="4"/>
    </row>
    <row r="2" spans="1:10" x14ac:dyDescent="0.25">
      <c r="A2" s="4"/>
      <c r="B2" s="4"/>
      <c r="C2" s="4"/>
      <c r="D2" s="4"/>
      <c r="E2" s="4"/>
      <c r="F2" s="4"/>
      <c r="G2" s="4"/>
      <c r="H2" s="4"/>
      <c r="I2" s="4"/>
      <c r="J2" s="4"/>
    </row>
    <row r="3" spans="1:10" x14ac:dyDescent="0.25">
      <c r="A3" s="8" t="s">
        <v>40</v>
      </c>
      <c r="B3" s="9" t="s">
        <v>41</v>
      </c>
      <c r="C3" s="9" t="s">
        <v>42</v>
      </c>
      <c r="D3" s="9" t="s">
        <v>43</v>
      </c>
      <c r="E3" s="9" t="s">
        <v>44</v>
      </c>
      <c r="F3" s="9" t="s">
        <v>45</v>
      </c>
      <c r="G3" s="9" t="s">
        <v>46</v>
      </c>
      <c r="H3" s="9" t="s">
        <v>47</v>
      </c>
      <c r="I3" s="9" t="s">
        <v>48</v>
      </c>
      <c r="J3" s="4"/>
    </row>
    <row r="4" spans="1:10" x14ac:dyDescent="0.25">
      <c r="A4" s="4"/>
      <c r="B4" s="4"/>
      <c r="C4" s="4"/>
      <c r="D4" s="4"/>
      <c r="E4" s="4"/>
      <c r="F4" s="4"/>
      <c r="G4" s="4"/>
      <c r="H4" s="4"/>
      <c r="I4" s="4"/>
      <c r="J4" s="4"/>
    </row>
    <row r="5" spans="1:10" x14ac:dyDescent="0.25">
      <c r="A5" s="10" t="s">
        <v>86</v>
      </c>
      <c r="B5" s="11"/>
      <c r="C5" s="11"/>
      <c r="D5" s="11"/>
      <c r="E5" s="11"/>
      <c r="F5" s="11"/>
      <c r="G5" s="11"/>
      <c r="H5" s="11"/>
      <c r="I5" s="11"/>
      <c r="J5" s="4"/>
    </row>
    <row r="6" spans="1:10" x14ac:dyDescent="0.25">
      <c r="A6" s="4" t="s">
        <v>79</v>
      </c>
      <c r="B6" s="17">
        <v>12948</v>
      </c>
      <c r="C6" s="17">
        <v>12356</v>
      </c>
      <c r="D6" s="17">
        <v>12076</v>
      </c>
      <c r="E6" s="16">
        <f>Revenue!E6*Assumptions!E11</f>
        <v>11839.281999999999</v>
      </c>
      <c r="F6" s="16">
        <f>Revenue!F6*Assumptions!F11</f>
        <v>11861.867707199997</v>
      </c>
      <c r="G6" s="16">
        <f>Revenue!G6*Assumptions!G11</f>
        <v>11984.055927794998</v>
      </c>
      <c r="H6" s="16">
        <f>Revenue!H6*Assumptions!H11</f>
        <v>12185.833985742056</v>
      </c>
      <c r="I6" s="16">
        <f>Revenue!I6*Assumptions!I11</f>
        <v>12432.203879699515</v>
      </c>
      <c r="J6" s="4"/>
    </row>
    <row r="7" spans="1:10" x14ac:dyDescent="0.25">
      <c r="A7" s="4" t="s">
        <v>80</v>
      </c>
      <c r="B7" s="17">
        <v>2580</v>
      </c>
      <c r="C7" s="17">
        <v>2482</v>
      </c>
      <c r="D7" s="17">
        <v>2497</v>
      </c>
      <c r="E7" s="16">
        <f>Revenue!E7*Assumptions!E12</f>
        <v>2507.4699749999995</v>
      </c>
      <c r="F7" s="16">
        <f>Revenue!F7*Assumptions!F12</f>
        <v>2534.2518883499993</v>
      </c>
      <c r="G7" s="16">
        <f>Revenue!G7*Assumptions!G12</f>
        <v>2577.5724334499992</v>
      </c>
      <c r="H7" s="16">
        <f>Revenue!H7*Assumptions!H12</f>
        <v>2634.4631393025743</v>
      </c>
      <c r="I7" s="16">
        <f>Revenue!I7*Assumptions!I12</f>
        <v>2688.718737622738</v>
      </c>
      <c r="J7" s="4"/>
    </row>
    <row r="8" spans="1:10" x14ac:dyDescent="0.25">
      <c r="A8" s="4" t="s">
        <v>81</v>
      </c>
      <c r="B8" s="17">
        <v>2186</v>
      </c>
      <c r="C8" s="17">
        <v>2040</v>
      </c>
      <c r="D8" s="17">
        <v>2060</v>
      </c>
      <c r="E8" s="16">
        <f>Revenue!E8*Assumptions!E13</f>
        <v>2118.1023</v>
      </c>
      <c r="F8" s="16">
        <f>Revenue!F8*Assumptions!F13</f>
        <v>2196.7912512000003</v>
      </c>
      <c r="G8" s="16">
        <f>Revenue!G8*Assumptions!G13</f>
        <v>2286.1867743000003</v>
      </c>
      <c r="H8" s="16">
        <f>Revenue!H8*Assumptions!H13</f>
        <v>2393.8740547722</v>
      </c>
      <c r="I8" s="16">
        <f>Revenue!I8*Assumptions!I13</f>
        <v>2503.1380157784006</v>
      </c>
      <c r="J8" s="4"/>
    </row>
    <row r="9" spans="1:10" x14ac:dyDescent="0.25">
      <c r="A9" s="4"/>
      <c r="B9" s="4"/>
      <c r="C9" s="4"/>
      <c r="D9" s="4"/>
      <c r="E9" s="4"/>
      <c r="F9" s="4"/>
      <c r="G9" s="4"/>
      <c r="H9" s="4"/>
      <c r="I9" s="4"/>
      <c r="J9" s="4"/>
    </row>
    <row r="10" spans="1:10" x14ac:dyDescent="0.25">
      <c r="A10" s="3" t="s">
        <v>87</v>
      </c>
      <c r="B10" s="19">
        <f t="shared" ref="B10:I10" si="0">SUM(B6:B8)</f>
        <v>17714</v>
      </c>
      <c r="C10" s="19">
        <f t="shared" si="0"/>
        <v>16878</v>
      </c>
      <c r="D10" s="19">
        <f t="shared" si="0"/>
        <v>16633</v>
      </c>
      <c r="E10" s="19">
        <f t="shared" si="0"/>
        <v>16464.854274999998</v>
      </c>
      <c r="F10" s="19">
        <f t="shared" si="0"/>
        <v>16592.910846749997</v>
      </c>
      <c r="G10" s="19">
        <f t="shared" si="0"/>
        <v>16847.815135544995</v>
      </c>
      <c r="H10" s="19">
        <f t="shared" si="0"/>
        <v>17214.171179816829</v>
      </c>
      <c r="I10" s="19">
        <f t="shared" si="0"/>
        <v>17624.060633100653</v>
      </c>
      <c r="J10" s="4"/>
    </row>
    <row r="11" spans="1:10" x14ac:dyDescent="0.25">
      <c r="A11" s="4"/>
      <c r="B11" s="4"/>
      <c r="C11" s="4"/>
      <c r="D11" s="4"/>
      <c r="E11" s="4"/>
      <c r="F11" s="4"/>
      <c r="G11" s="4"/>
      <c r="H11" s="4"/>
      <c r="I11" s="4"/>
      <c r="J11" s="4"/>
    </row>
    <row r="12" spans="1:10" x14ac:dyDescent="0.25">
      <c r="A12" s="10" t="s">
        <v>88</v>
      </c>
      <c r="B12" s="11"/>
      <c r="C12" s="11"/>
      <c r="D12" s="11"/>
      <c r="E12" s="11"/>
      <c r="F12" s="11"/>
      <c r="G12" s="11"/>
      <c r="H12" s="11"/>
      <c r="I12" s="11"/>
      <c r="J12" s="4"/>
    </row>
    <row r="13" spans="1:10" x14ac:dyDescent="0.25">
      <c r="A13" s="4" t="s">
        <v>79</v>
      </c>
      <c r="B13" s="12">
        <f>B6/Revenue!B6</f>
        <v>0.64334691443903413</v>
      </c>
      <c r="C13" s="12">
        <f>C6/Revenue!C6</f>
        <v>0.63224684030087497</v>
      </c>
      <c r="D13" s="12">
        <f>D6/Revenue!D6</f>
        <v>0.64973636070160334</v>
      </c>
      <c r="E13" s="12">
        <f>E6/Revenue!E6</f>
        <v>0.65</v>
      </c>
      <c r="F13" s="12">
        <f>F6/Revenue!F6</f>
        <v>0.64800000000000002</v>
      </c>
      <c r="G13" s="12">
        <f>G6/Revenue!G6</f>
        <v>0.64500000000000002</v>
      </c>
      <c r="H13" s="12">
        <f>H6/Revenue!H6</f>
        <v>0.64300000000000002</v>
      </c>
      <c r="I13" s="12">
        <f>I6/Revenue!I6</f>
        <v>0.64</v>
      </c>
      <c r="J13" s="4"/>
    </row>
    <row r="14" spans="1:10" x14ac:dyDescent="0.25">
      <c r="A14" s="4" t="s">
        <v>80</v>
      </c>
      <c r="B14" s="12">
        <f>B7/Revenue!B7</f>
        <v>0.71211703008556448</v>
      </c>
      <c r="C14" s="12">
        <f>C7/Revenue!C7</f>
        <v>0.70212164073550209</v>
      </c>
      <c r="D14" s="12">
        <f>D7/Revenue!D7</f>
        <v>0.70556654422153153</v>
      </c>
      <c r="E14" s="12">
        <f>E7/Revenue!E7</f>
        <v>0.70499999999999996</v>
      </c>
      <c r="F14" s="12">
        <f>F7/Revenue!F7</f>
        <v>0.70199999999999996</v>
      </c>
      <c r="G14" s="12">
        <f>G7/Revenue!G7</f>
        <v>0.7</v>
      </c>
      <c r="H14" s="12">
        <f>H7/Revenue!H7</f>
        <v>0.69799999999999995</v>
      </c>
      <c r="I14" s="12">
        <f>I7/Revenue!I7</f>
        <v>0.69499999999999995</v>
      </c>
      <c r="J14" s="4"/>
    </row>
    <row r="15" spans="1:10" x14ac:dyDescent="0.25">
      <c r="A15" s="4" t="s">
        <v>81</v>
      </c>
      <c r="B15" s="12">
        <f>B8/Revenue!B8</f>
        <v>0.7561397440332065</v>
      </c>
      <c r="C15" s="12">
        <f>C8/Revenue!C8</f>
        <v>0.73699421965317924</v>
      </c>
      <c r="D15" s="12">
        <f>D8/Revenue!D8</f>
        <v>0.73127440539581112</v>
      </c>
      <c r="E15" s="12">
        <f>E8/Revenue!E8</f>
        <v>0.73</v>
      </c>
      <c r="F15" s="12">
        <f>F8/Revenue!F8</f>
        <v>0.72799999999999998</v>
      </c>
      <c r="G15" s="12">
        <f>G8/Revenue!G8</f>
        <v>0.72500000000000009</v>
      </c>
      <c r="H15" s="12">
        <f>H8/Revenue!H8</f>
        <v>0.72299999999999998</v>
      </c>
      <c r="I15" s="12">
        <f>I8/Revenue!I8</f>
        <v>0.72000000000000008</v>
      </c>
      <c r="J15" s="4"/>
    </row>
    <row r="16" spans="1:10" x14ac:dyDescent="0.25">
      <c r="A16" s="4"/>
      <c r="B16" s="4"/>
      <c r="C16" s="4"/>
      <c r="D16" s="4"/>
      <c r="E16" s="4"/>
      <c r="F16" s="4"/>
      <c r="G16" s="4"/>
      <c r="H16" s="4"/>
      <c r="I16" s="4"/>
      <c r="J16" s="4"/>
    </row>
    <row r="17" spans="1:10" x14ac:dyDescent="0.25">
      <c r="A17" s="3" t="s">
        <v>89</v>
      </c>
      <c r="B17" s="22">
        <f>1-B10/Revenue!B10</f>
        <v>0.33506006006006006</v>
      </c>
      <c r="C17" s="22">
        <f>1-C10/Revenue!C10</f>
        <v>0.34697825582295128</v>
      </c>
      <c r="D17" s="22">
        <f>1-D10/Revenue!D10</f>
        <v>0.33313286825435007</v>
      </c>
      <c r="E17" s="22">
        <f>1-E10/Revenue!E10</f>
        <v>0.33266331806463767</v>
      </c>
      <c r="F17" s="22">
        <f>1-F10/Revenue!F10</f>
        <v>0.33449915138409692</v>
      </c>
      <c r="G17" s="22">
        <f>1-G10/Revenue!G10</f>
        <v>0.33710573332774241</v>
      </c>
      <c r="H17" s="22">
        <f>1-H10/Revenue!H10</f>
        <v>0.33885384366759475</v>
      </c>
      <c r="I17" s="22">
        <f>1-I10/Revenue!I10</f>
        <v>0.34166258890506573</v>
      </c>
      <c r="J17" s="4"/>
    </row>
    <row r="18" spans="1:10" x14ac:dyDescent="0.25">
      <c r="A18" s="4"/>
      <c r="B18" s="4"/>
      <c r="C18" s="4"/>
      <c r="D18" s="4"/>
      <c r="E18" s="4"/>
      <c r="F18" s="4"/>
      <c r="G18" s="4"/>
      <c r="H18" s="4"/>
      <c r="I18" s="4"/>
      <c r="J18" s="4"/>
    </row>
    <row r="19" spans="1:10" x14ac:dyDescent="0.25">
      <c r="A19" s="4"/>
      <c r="B19" s="4"/>
      <c r="C19" s="4"/>
      <c r="D19" s="4"/>
      <c r="E19" s="4"/>
      <c r="F19" s="4"/>
      <c r="G19" s="4"/>
      <c r="H19" s="4"/>
      <c r="I19" s="4"/>
      <c r="J19" s="4"/>
    </row>
    <row r="20" spans="1:10" x14ac:dyDescent="0.25">
      <c r="A20" s="4"/>
      <c r="B20" s="4"/>
      <c r="C20" s="4"/>
      <c r="D20" s="4"/>
      <c r="E20" s="4"/>
      <c r="F20" s="4"/>
      <c r="G20" s="4"/>
      <c r="H20" s="4"/>
      <c r="I20" s="4"/>
      <c r="J20" s="4"/>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7109375" defaultRowHeight="15" x14ac:dyDescent="0.25"/>
  <cols>
    <col min="1" max="1" width="46" customWidth="1"/>
    <col min="2" max="9" width="11" customWidth="1"/>
  </cols>
  <sheetData>
    <row r="1" spans="1:10" ht="15.75" x14ac:dyDescent="0.25">
      <c r="A1" s="7" t="s">
        <v>90</v>
      </c>
      <c r="B1" s="4"/>
      <c r="C1" s="4"/>
      <c r="D1" s="4"/>
      <c r="E1" s="4"/>
      <c r="F1" s="4"/>
      <c r="G1" s="4"/>
      <c r="H1" s="4"/>
      <c r="I1" s="4"/>
      <c r="J1" s="4"/>
    </row>
    <row r="2" spans="1:10" x14ac:dyDescent="0.25">
      <c r="A2" s="4"/>
      <c r="B2" s="4"/>
      <c r="C2" s="4"/>
      <c r="D2" s="4"/>
      <c r="E2" s="4"/>
      <c r="F2" s="4"/>
      <c r="G2" s="4"/>
      <c r="H2" s="4"/>
      <c r="I2" s="4"/>
      <c r="J2" s="4"/>
    </row>
    <row r="3" spans="1:10" x14ac:dyDescent="0.25">
      <c r="A3" s="8" t="s">
        <v>40</v>
      </c>
      <c r="B3" s="9" t="s">
        <v>41</v>
      </c>
      <c r="C3" s="9" t="s">
        <v>42</v>
      </c>
      <c r="D3" s="9" t="s">
        <v>43</v>
      </c>
      <c r="E3" s="9" t="s">
        <v>44</v>
      </c>
      <c r="F3" s="9" t="s">
        <v>45</v>
      </c>
      <c r="G3" s="9" t="s">
        <v>46</v>
      </c>
      <c r="H3" s="9" t="s">
        <v>47</v>
      </c>
      <c r="I3" s="9" t="s">
        <v>48</v>
      </c>
      <c r="J3" s="4"/>
    </row>
    <row r="4" spans="1:10" x14ac:dyDescent="0.25">
      <c r="A4" s="4"/>
      <c r="B4" s="4"/>
      <c r="C4" s="4"/>
      <c r="D4" s="4"/>
      <c r="E4" s="4"/>
      <c r="F4" s="4"/>
      <c r="G4" s="4"/>
      <c r="H4" s="4"/>
      <c r="I4" s="4"/>
      <c r="J4" s="4"/>
    </row>
    <row r="5" spans="1:10" x14ac:dyDescent="0.25">
      <c r="A5" s="10" t="s">
        <v>91</v>
      </c>
      <c r="B5" s="11"/>
      <c r="C5" s="11"/>
      <c r="D5" s="11"/>
      <c r="E5" s="11"/>
      <c r="F5" s="11"/>
      <c r="G5" s="11"/>
      <c r="H5" s="11"/>
      <c r="I5" s="11"/>
      <c r="J5" s="4"/>
    </row>
    <row r="6" spans="1:10" x14ac:dyDescent="0.25">
      <c r="A6" s="3" t="s">
        <v>92</v>
      </c>
      <c r="B6" s="23">
        <v>3692</v>
      </c>
      <c r="C6" s="23">
        <v>3616</v>
      </c>
      <c r="D6" s="23">
        <v>3672</v>
      </c>
      <c r="E6" s="24">
        <f>D6*(1+Assumptions!E16)</f>
        <v>3727.0799999999995</v>
      </c>
      <c r="F6" s="24">
        <f>E6*(1+Assumptions!F16)</f>
        <v>3801.6215999999995</v>
      </c>
      <c r="G6" s="24">
        <f>F6*(1+Assumptions!G16)</f>
        <v>3877.6540319999995</v>
      </c>
      <c r="H6" s="24">
        <f>G6*(1+Assumptions!H16)</f>
        <v>3974.5953827999992</v>
      </c>
      <c r="I6" s="24">
        <f>H6*(1+Assumptions!I16)</f>
        <v>4073.9602673699987</v>
      </c>
      <c r="J6" s="4"/>
    </row>
    <row r="7" spans="1:10" x14ac:dyDescent="0.25">
      <c r="A7" s="4"/>
      <c r="B7" s="4"/>
      <c r="C7" s="4"/>
      <c r="D7" s="4"/>
      <c r="E7" s="4"/>
      <c r="F7" s="4"/>
      <c r="G7" s="4"/>
      <c r="H7" s="4"/>
      <c r="I7" s="4"/>
      <c r="J7" s="4"/>
    </row>
    <row r="8" spans="1:10" x14ac:dyDescent="0.25">
      <c r="A8" s="4" t="s">
        <v>93</v>
      </c>
      <c r="B8" s="4"/>
      <c r="C8" s="20">
        <f t="shared" ref="C8:I8" si="0">C6/B6-1</f>
        <v>-2.0585048754062862E-2</v>
      </c>
      <c r="D8" s="20">
        <f t="shared" si="0"/>
        <v>1.5486725663716783E-2</v>
      </c>
      <c r="E8" s="20">
        <f t="shared" si="0"/>
        <v>1.4999999999999902E-2</v>
      </c>
      <c r="F8" s="20">
        <f t="shared" si="0"/>
        <v>2.0000000000000018E-2</v>
      </c>
      <c r="G8" s="20">
        <f t="shared" si="0"/>
        <v>2.0000000000000018E-2</v>
      </c>
      <c r="H8" s="20">
        <f t="shared" si="0"/>
        <v>2.4999999999999911E-2</v>
      </c>
      <c r="I8" s="20">
        <f t="shared" si="0"/>
        <v>2.4999999999999911E-2</v>
      </c>
      <c r="J8" s="4"/>
    </row>
    <row r="9" spans="1:10" x14ac:dyDescent="0.25">
      <c r="A9" s="4" t="s">
        <v>94</v>
      </c>
      <c r="B9" s="12">
        <f>B6/Revenue!B10</f>
        <v>0.13858858858858858</v>
      </c>
      <c r="C9" s="12">
        <f>C6/Revenue!C10</f>
        <v>0.13990559467615879</v>
      </c>
      <c r="D9" s="12">
        <f>D6/Revenue!D10</f>
        <v>0.14722155400529227</v>
      </c>
      <c r="E9" s="12">
        <f>E6/Revenue!E10</f>
        <v>0.15106220552976318</v>
      </c>
      <c r="F9" s="12">
        <f>F6/Revenue!F10</f>
        <v>0.15247369339130074</v>
      </c>
      <c r="G9" s="12">
        <f>G6/Revenue!G10</f>
        <v>0.15257020600423465</v>
      </c>
      <c r="H9" s="12">
        <f>H6/Revenue!H10</f>
        <v>0.1526526274698464</v>
      </c>
      <c r="I9" s="12">
        <f>I6/Revenue!I10</f>
        <v>0.15218061893674567</v>
      </c>
      <c r="J9" s="4"/>
    </row>
    <row r="10" spans="1:10" x14ac:dyDescent="0.25">
      <c r="A10" s="4"/>
      <c r="B10" s="4"/>
      <c r="C10" s="4"/>
      <c r="D10" s="4"/>
      <c r="E10" s="4"/>
      <c r="F10" s="4"/>
      <c r="G10" s="4"/>
      <c r="H10" s="4"/>
      <c r="I10" s="4"/>
      <c r="J10" s="4"/>
    </row>
    <row r="11" spans="1:10" x14ac:dyDescent="0.25">
      <c r="A11" s="4"/>
      <c r="B11" s="4"/>
      <c r="C11" s="4"/>
      <c r="D11" s="4"/>
      <c r="E11" s="4"/>
      <c r="F11" s="4"/>
      <c r="G11" s="4"/>
      <c r="H11" s="4"/>
      <c r="I11" s="4"/>
      <c r="J11" s="4"/>
    </row>
    <row r="12" spans="1:10" x14ac:dyDescent="0.25">
      <c r="A12" s="4"/>
      <c r="B12" s="4"/>
      <c r="C12" s="4"/>
      <c r="D12" s="4"/>
      <c r="E12" s="4"/>
      <c r="F12" s="4"/>
      <c r="G12" s="4"/>
      <c r="H12" s="4"/>
      <c r="I12" s="4"/>
      <c r="J12" s="4"/>
    </row>
    <row r="13" spans="1:10" x14ac:dyDescent="0.25">
      <c r="A13" s="4"/>
      <c r="B13" s="4"/>
      <c r="C13" s="4"/>
      <c r="D13" s="4"/>
      <c r="E13" s="4"/>
      <c r="F13" s="4"/>
      <c r="G13" s="4"/>
      <c r="H13" s="4"/>
      <c r="I13" s="4"/>
      <c r="J13" s="4"/>
    </row>
    <row r="14" spans="1:10" x14ac:dyDescent="0.25">
      <c r="A14" s="4"/>
      <c r="B14" s="4"/>
      <c r="C14" s="4"/>
      <c r="D14" s="4"/>
      <c r="E14" s="4"/>
      <c r="F14" s="4"/>
      <c r="G14" s="4"/>
      <c r="H14" s="4"/>
      <c r="I14" s="4"/>
      <c r="J14" s="4"/>
    </row>
    <row r="15" spans="1:10" x14ac:dyDescent="0.25">
      <c r="A15" s="4"/>
      <c r="B15" s="4"/>
      <c r="C15" s="4"/>
      <c r="D15" s="4"/>
      <c r="E15" s="4"/>
      <c r="F15" s="4"/>
      <c r="G15" s="4"/>
      <c r="H15" s="4"/>
      <c r="I15" s="4"/>
      <c r="J15" s="4"/>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2"/>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7109375" defaultRowHeight="15" x14ac:dyDescent="0.25"/>
  <cols>
    <col min="1" max="1" width="46" customWidth="1"/>
    <col min="2" max="9" width="11" customWidth="1"/>
  </cols>
  <sheetData>
    <row r="1" spans="1:10" ht="15.75" x14ac:dyDescent="0.25">
      <c r="A1" s="7" t="s">
        <v>95</v>
      </c>
      <c r="B1" s="4"/>
      <c r="C1" s="4"/>
      <c r="D1" s="4"/>
      <c r="E1" s="4"/>
      <c r="F1" s="4"/>
      <c r="G1" s="4"/>
      <c r="H1" s="4"/>
      <c r="I1" s="4"/>
      <c r="J1" s="4"/>
    </row>
    <row r="2" spans="1:10" x14ac:dyDescent="0.25">
      <c r="A2" s="4"/>
      <c r="B2" s="4"/>
      <c r="C2" s="4"/>
      <c r="D2" s="4"/>
      <c r="E2" s="4"/>
      <c r="F2" s="4"/>
      <c r="G2" s="4"/>
      <c r="H2" s="4"/>
      <c r="I2" s="4"/>
      <c r="J2" s="4"/>
    </row>
    <row r="3" spans="1:10" x14ac:dyDescent="0.25">
      <c r="A3" s="8" t="s">
        <v>40</v>
      </c>
      <c r="B3" s="9" t="s">
        <v>41</v>
      </c>
      <c r="C3" s="9" t="s">
        <v>42</v>
      </c>
      <c r="D3" s="9" t="s">
        <v>43</v>
      </c>
      <c r="E3" s="9" t="s">
        <v>44</v>
      </c>
      <c r="F3" s="9" t="s">
        <v>45</v>
      </c>
      <c r="G3" s="9" t="s">
        <v>46</v>
      </c>
      <c r="H3" s="9" t="s">
        <v>47</v>
      </c>
      <c r="I3" s="9" t="s">
        <v>48</v>
      </c>
      <c r="J3" s="4"/>
    </row>
    <row r="4" spans="1:10" x14ac:dyDescent="0.25">
      <c r="A4" s="4"/>
      <c r="B4" s="4"/>
      <c r="C4" s="4"/>
      <c r="D4" s="4"/>
      <c r="E4" s="4"/>
      <c r="F4" s="4"/>
      <c r="G4" s="4"/>
      <c r="H4" s="4"/>
      <c r="I4" s="4"/>
      <c r="J4" s="4"/>
    </row>
    <row r="5" spans="1:10" x14ac:dyDescent="0.25">
      <c r="A5" s="10" t="s">
        <v>96</v>
      </c>
      <c r="B5" s="11"/>
      <c r="C5" s="11"/>
      <c r="D5" s="11"/>
      <c r="E5" s="11"/>
      <c r="F5" s="11"/>
      <c r="G5" s="11"/>
      <c r="H5" s="11"/>
      <c r="I5" s="11"/>
      <c r="J5" s="4"/>
    </row>
    <row r="6" spans="1:10" x14ac:dyDescent="0.25">
      <c r="A6" s="4" t="s">
        <v>97</v>
      </c>
      <c r="B6" s="4"/>
      <c r="C6" s="17">
        <v>2147</v>
      </c>
      <c r="D6" s="17">
        <v>2254</v>
      </c>
      <c r="E6" s="16">
        <f>Assumptions!E20*Revenue!E10/365</f>
        <v>2230.6630273972601</v>
      </c>
      <c r="F6" s="16">
        <f>Assumptions!F20*Revenue!F10/365</f>
        <v>2254.2134751369863</v>
      </c>
      <c r="G6" s="16">
        <f>Assumptions!G20*Revenue!G10/365</f>
        <v>2297.8432586095887</v>
      </c>
      <c r="H6" s="16">
        <f>Assumptions!H20*Revenue!H10/365</f>
        <v>2354.0176528293073</v>
      </c>
      <c r="I6" s="16">
        <f>Assumptions!I20*Revenue!I10/365</f>
        <v>2420.3519270956704</v>
      </c>
      <c r="J6" s="4"/>
    </row>
    <row r="7" spans="1:10" x14ac:dyDescent="0.25">
      <c r="A7" s="4" t="s">
        <v>98</v>
      </c>
      <c r="B7" s="4"/>
      <c r="C7" s="17">
        <v>3376</v>
      </c>
      <c r="D7" s="17">
        <v>3167</v>
      </c>
      <c r="E7" s="16">
        <f>Assumptions!E21*COGS!E10/365</f>
        <v>3112.5340958219176</v>
      </c>
      <c r="F7" s="16">
        <f>Assumptions!F21*COGS!F10/365</f>
        <v>3091.2820207643831</v>
      </c>
      <c r="G7" s="16">
        <f>Assumptions!G21*COGS!G10/365</f>
        <v>3138.7710389508484</v>
      </c>
      <c r="H7" s="16">
        <f>Assumptions!H21*COGS!H10/365</f>
        <v>3159.86155903487</v>
      </c>
      <c r="I7" s="16">
        <f>Assumptions!I21*COGS!I10/365</f>
        <v>3235.1015408705307</v>
      </c>
      <c r="J7" s="4"/>
    </row>
    <row r="8" spans="1:10" x14ac:dyDescent="0.25">
      <c r="A8" s="4" t="s">
        <v>99</v>
      </c>
      <c r="B8" s="4"/>
      <c r="C8" s="17">
        <v>4188</v>
      </c>
      <c r="D8" s="17">
        <v>4308</v>
      </c>
      <c r="E8" s="16">
        <f>Assumptions!E22*COGS!E10/365</f>
        <v>4285.3730304794517</v>
      </c>
      <c r="F8" s="16">
        <f>Assumptions!F22*COGS!F10/365</f>
        <v>4318.7028231267113</v>
      </c>
      <c r="G8" s="16">
        <f>Assumptions!G22*COGS!G10/365</f>
        <v>4385.0477750048613</v>
      </c>
      <c r="H8" s="16">
        <f>Assumptions!H22*COGS!H10/365</f>
        <v>4480.400718034517</v>
      </c>
      <c r="I8" s="16">
        <f>Assumptions!I22*COGS!I10/365</f>
        <v>4587.0842743686626</v>
      </c>
      <c r="J8" s="4"/>
    </row>
    <row r="9" spans="1:10" x14ac:dyDescent="0.25">
      <c r="A9" s="3" t="s">
        <v>100</v>
      </c>
      <c r="B9" s="19">
        <f t="shared" ref="B9:I9" si="0">B6+B7-B8</f>
        <v>0</v>
      </c>
      <c r="C9" s="19">
        <f t="shared" si="0"/>
        <v>1335</v>
      </c>
      <c r="D9" s="19">
        <f t="shared" si="0"/>
        <v>1113</v>
      </c>
      <c r="E9" s="19">
        <f t="shared" si="0"/>
        <v>1057.8240927397255</v>
      </c>
      <c r="F9" s="19">
        <f t="shared" si="0"/>
        <v>1026.7926727746581</v>
      </c>
      <c r="G9" s="19">
        <f t="shared" si="0"/>
        <v>1051.5665225555758</v>
      </c>
      <c r="H9" s="19">
        <f t="shared" si="0"/>
        <v>1033.4784938296607</v>
      </c>
      <c r="I9" s="19">
        <f t="shared" si="0"/>
        <v>1068.3691935975385</v>
      </c>
      <c r="J9" s="4"/>
    </row>
    <row r="10" spans="1:10" x14ac:dyDescent="0.25">
      <c r="A10" s="25" t="s">
        <v>101</v>
      </c>
      <c r="B10" s="4"/>
      <c r="C10" s="4"/>
      <c r="D10" s="4"/>
      <c r="E10" s="4"/>
      <c r="F10" s="4"/>
      <c r="G10" s="4"/>
      <c r="H10" s="4"/>
      <c r="I10" s="4"/>
      <c r="J10" s="4"/>
    </row>
    <row r="11" spans="1:10" x14ac:dyDescent="0.25">
      <c r="A11" s="4" t="s">
        <v>102</v>
      </c>
      <c r="B11" s="14">
        <f>IFERROR(B6/Revenue!B10*365,0)</f>
        <v>0</v>
      </c>
      <c r="C11" s="14">
        <f>IFERROR(C6/Revenue!C10*365,0)</f>
        <v>30.320165596223784</v>
      </c>
      <c r="D11" s="14">
        <f>IFERROR(D6/Revenue!D10*365,0)</f>
        <v>32.984925026060459</v>
      </c>
      <c r="E11" s="14">
        <f>IFERROR(E6/Revenue!E10*365,0)</f>
        <v>32.999999999999993</v>
      </c>
      <c r="F11" s="14">
        <f>IFERROR(F6/Revenue!F10*365,0)</f>
        <v>33.000000000000007</v>
      </c>
      <c r="G11" s="14">
        <f>IFERROR(G6/Revenue!G10*365,0)</f>
        <v>33</v>
      </c>
      <c r="H11" s="14">
        <f>IFERROR(H6/Revenue!H10*365,0)</f>
        <v>33</v>
      </c>
      <c r="I11" s="14">
        <f>IFERROR(I6/Revenue!I10*365,0)</f>
        <v>33</v>
      </c>
      <c r="J11" s="4"/>
    </row>
    <row r="12" spans="1:10" x14ac:dyDescent="0.25">
      <c r="A12" s="4" t="s">
        <v>103</v>
      </c>
      <c r="B12" s="14">
        <f>IFERROR(B7/COGS!B10*365,0)</f>
        <v>0</v>
      </c>
      <c r="C12" s="14">
        <f>IFERROR(C7/COGS!C10*365,0)</f>
        <v>73.00865031401824</v>
      </c>
      <c r="D12" s="14">
        <f>IFERROR(D7/COGS!D10*365,0)</f>
        <v>69.497685324355189</v>
      </c>
      <c r="E12" s="14">
        <f>IFERROR(E7/COGS!E10*365,0)</f>
        <v>69</v>
      </c>
      <c r="F12" s="14">
        <f>IFERROR(F7/COGS!F10*365,0)</f>
        <v>68</v>
      </c>
      <c r="G12" s="14">
        <f>IFERROR(G7/COGS!G10*365,0)</f>
        <v>68</v>
      </c>
      <c r="H12" s="14">
        <f>IFERROR(H7/COGS!H10*365,0)</f>
        <v>67</v>
      </c>
      <c r="I12" s="14">
        <f>IFERROR(I7/COGS!I10*365,0)</f>
        <v>67</v>
      </c>
      <c r="J12" s="4"/>
    </row>
    <row r="13" spans="1:10" x14ac:dyDescent="0.25">
      <c r="A13" s="4" t="s">
        <v>104</v>
      </c>
      <c r="B13" s="14">
        <f>IFERROR(B8/COGS!B10*365,0)</f>
        <v>0</v>
      </c>
      <c r="C13" s="14">
        <f>IFERROR(C8/COGS!C10*365,0)</f>
        <v>90.568787771062915</v>
      </c>
      <c r="D13" s="14">
        <f>IFERROR(D8/COGS!D10*365,0)</f>
        <v>94.5361630493597</v>
      </c>
      <c r="E13" s="14">
        <f>IFERROR(E8/COGS!E10*365,0)</f>
        <v>95</v>
      </c>
      <c r="F13" s="14">
        <f>IFERROR(F8/COGS!F10*365,0)</f>
        <v>95</v>
      </c>
      <c r="G13" s="14">
        <f>IFERROR(G8/COGS!G10*365,0)</f>
        <v>95</v>
      </c>
      <c r="H13" s="14">
        <f>IFERROR(H8/COGS!H10*365,0)</f>
        <v>95</v>
      </c>
      <c r="I13" s="14">
        <f>IFERROR(I8/COGS!I10*365,0)</f>
        <v>95</v>
      </c>
      <c r="J13" s="4"/>
    </row>
    <row r="14" spans="1:10" x14ac:dyDescent="0.25">
      <c r="A14" s="4"/>
      <c r="B14" s="4"/>
      <c r="C14" s="4"/>
      <c r="D14" s="4"/>
      <c r="E14" s="4"/>
      <c r="F14" s="4"/>
      <c r="G14" s="4"/>
      <c r="H14" s="4"/>
      <c r="I14" s="4"/>
      <c r="J14" s="4"/>
    </row>
    <row r="15" spans="1:10" x14ac:dyDescent="0.25">
      <c r="A15" s="10" t="s">
        <v>105</v>
      </c>
      <c r="B15" s="11"/>
      <c r="C15" s="11"/>
      <c r="D15" s="11"/>
      <c r="E15" s="11"/>
      <c r="F15" s="11"/>
      <c r="G15" s="11"/>
      <c r="H15" s="11"/>
      <c r="I15" s="11"/>
      <c r="J15" s="4"/>
    </row>
    <row r="16" spans="1:10" x14ac:dyDescent="0.25">
      <c r="A16" s="4" t="s">
        <v>106</v>
      </c>
      <c r="B16" s="4"/>
      <c r="C16" s="26">
        <f t="shared" ref="C16:I17" si="1">-(C6-B6)</f>
        <v>-2147</v>
      </c>
      <c r="D16" s="26">
        <f t="shared" si="1"/>
        <v>-107</v>
      </c>
      <c r="E16" s="26">
        <f t="shared" si="1"/>
        <v>23.336972602739934</v>
      </c>
      <c r="F16" s="26">
        <f t="shared" si="1"/>
        <v>-23.550447739726224</v>
      </c>
      <c r="G16" s="26">
        <f t="shared" si="1"/>
        <v>-43.629783472602412</v>
      </c>
      <c r="H16" s="26">
        <f t="shared" si="1"/>
        <v>-56.174394219718579</v>
      </c>
      <c r="I16" s="26">
        <f t="shared" si="1"/>
        <v>-66.334274266363082</v>
      </c>
      <c r="J16" s="4"/>
    </row>
    <row r="17" spans="1:10" x14ac:dyDescent="0.25">
      <c r="A17" s="4" t="s">
        <v>107</v>
      </c>
      <c r="B17" s="4"/>
      <c r="C17" s="26">
        <f t="shared" si="1"/>
        <v>-3376</v>
      </c>
      <c r="D17" s="26">
        <f t="shared" si="1"/>
        <v>209</v>
      </c>
      <c r="E17" s="26">
        <f t="shared" si="1"/>
        <v>54.465904178082383</v>
      </c>
      <c r="F17" s="26">
        <f t="shared" si="1"/>
        <v>21.252075057534512</v>
      </c>
      <c r="G17" s="26">
        <f t="shared" si="1"/>
        <v>-47.489018186465273</v>
      </c>
      <c r="H17" s="26">
        <f t="shared" si="1"/>
        <v>-21.090520084021591</v>
      </c>
      <c r="I17" s="26">
        <f t="shared" si="1"/>
        <v>-75.239981835660728</v>
      </c>
      <c r="J17" s="4"/>
    </row>
    <row r="18" spans="1:10" x14ac:dyDescent="0.25">
      <c r="A18" s="4" t="s">
        <v>108</v>
      </c>
      <c r="B18" s="4"/>
      <c r="C18" s="26">
        <f t="shared" ref="C18:I18" si="2">C8-B8</f>
        <v>4188</v>
      </c>
      <c r="D18" s="26">
        <f t="shared" si="2"/>
        <v>120</v>
      </c>
      <c r="E18" s="26">
        <f t="shared" si="2"/>
        <v>-22.6269695205483</v>
      </c>
      <c r="F18" s="26">
        <f t="shared" si="2"/>
        <v>33.329792647259637</v>
      </c>
      <c r="G18" s="26">
        <f t="shared" si="2"/>
        <v>66.344951878149914</v>
      </c>
      <c r="H18" s="26">
        <f t="shared" si="2"/>
        <v>95.352943029655762</v>
      </c>
      <c r="I18" s="26">
        <f t="shared" si="2"/>
        <v>106.68355633414558</v>
      </c>
      <c r="J18" s="4"/>
    </row>
    <row r="19" spans="1:10" x14ac:dyDescent="0.25">
      <c r="A19" s="3" t="s">
        <v>109</v>
      </c>
      <c r="B19" s="4"/>
      <c r="C19" s="19">
        <f t="shared" ref="C19:I19" si="3">SUM(C16:C18)</f>
        <v>-1335</v>
      </c>
      <c r="D19" s="19">
        <f t="shared" si="3"/>
        <v>222</v>
      </c>
      <c r="E19" s="19">
        <f t="shared" si="3"/>
        <v>55.175907260274016</v>
      </c>
      <c r="F19" s="19">
        <f t="shared" si="3"/>
        <v>31.031419965067926</v>
      </c>
      <c r="G19" s="19">
        <f t="shared" si="3"/>
        <v>-24.773849780917772</v>
      </c>
      <c r="H19" s="19">
        <f t="shared" si="3"/>
        <v>18.088028725915592</v>
      </c>
      <c r="I19" s="19">
        <f t="shared" si="3"/>
        <v>-34.890699767878232</v>
      </c>
      <c r="J19" s="4"/>
    </row>
    <row r="20" spans="1:10" x14ac:dyDescent="0.25">
      <c r="A20" s="4"/>
      <c r="B20" s="4"/>
      <c r="C20" s="4"/>
      <c r="D20" s="4"/>
      <c r="E20" s="4"/>
      <c r="F20" s="4"/>
      <c r="G20" s="4"/>
      <c r="H20" s="4"/>
      <c r="I20" s="4"/>
      <c r="J20" s="4"/>
    </row>
    <row r="21" spans="1:10" x14ac:dyDescent="0.25">
      <c r="A21" s="4"/>
      <c r="B21" s="4"/>
      <c r="C21" s="4"/>
      <c r="D21" s="4"/>
      <c r="E21" s="4"/>
      <c r="F21" s="4"/>
      <c r="G21" s="4"/>
      <c r="H21" s="4"/>
      <c r="I21" s="4"/>
      <c r="J21" s="4"/>
    </row>
    <row r="22" spans="1:10" x14ac:dyDescent="0.25">
      <c r="A22" s="4"/>
      <c r="B22" s="4"/>
      <c r="C22" s="4"/>
      <c r="D22" s="4"/>
      <c r="E22" s="4"/>
      <c r="F22" s="4"/>
      <c r="G22" s="4"/>
      <c r="H22" s="4"/>
      <c r="I22" s="4"/>
      <c r="J22" s="4"/>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1"/>
  <sheetViews>
    <sheetView showGridLines="0" tabSelected="1" zoomScaleNormal="100" workbookViewId="0">
      <pane xSplit="1" ySplit="3" topLeftCell="B4" activePane="bottomRight" state="frozen"/>
      <selection pane="topRight" activeCell="B1" sqref="B1"/>
      <selection pane="bottomLeft" activeCell="A4" sqref="A4"/>
      <selection pane="bottomRight" activeCell="D31" sqref="D31"/>
    </sheetView>
  </sheetViews>
  <sheetFormatPr baseColWidth="10" defaultColWidth="8.7109375" defaultRowHeight="15" x14ac:dyDescent="0.25"/>
  <cols>
    <col min="1" max="1" width="46" customWidth="1"/>
    <col min="2" max="9" width="11" customWidth="1"/>
  </cols>
  <sheetData>
    <row r="1" spans="1:10" ht="15.75" x14ac:dyDescent="0.25">
      <c r="A1" s="7" t="s">
        <v>110</v>
      </c>
      <c r="B1" s="4"/>
      <c r="C1" s="4"/>
      <c r="D1" s="4"/>
      <c r="E1" s="4"/>
      <c r="F1" s="4"/>
      <c r="G1" s="4"/>
      <c r="H1" s="4"/>
      <c r="I1" s="4"/>
      <c r="J1" s="4"/>
    </row>
    <row r="2" spans="1:10" x14ac:dyDescent="0.25">
      <c r="A2" s="4"/>
      <c r="B2" s="4"/>
      <c r="C2" s="4"/>
      <c r="D2" s="4"/>
      <c r="E2" s="4"/>
      <c r="F2" s="4"/>
      <c r="G2" s="4"/>
      <c r="H2" s="4"/>
      <c r="I2" s="4"/>
      <c r="J2" s="4"/>
    </row>
    <row r="3" spans="1:10" x14ac:dyDescent="0.25">
      <c r="A3" s="8" t="s">
        <v>40</v>
      </c>
      <c r="B3" s="9" t="s">
        <v>41</v>
      </c>
      <c r="C3" s="9" t="s">
        <v>42</v>
      </c>
      <c r="D3" s="9" t="s">
        <v>43</v>
      </c>
      <c r="E3" s="9" t="s">
        <v>44</v>
      </c>
      <c r="F3" s="9" t="s">
        <v>45</v>
      </c>
      <c r="G3" s="9" t="s">
        <v>46</v>
      </c>
      <c r="H3" s="9" t="s">
        <v>47</v>
      </c>
      <c r="I3" s="9" t="s">
        <v>48</v>
      </c>
      <c r="J3" s="4"/>
    </row>
    <row r="4" spans="1:10" x14ac:dyDescent="0.25">
      <c r="A4" s="4"/>
      <c r="B4" s="4"/>
      <c r="C4" s="4"/>
      <c r="D4" s="4"/>
      <c r="E4" s="4"/>
      <c r="F4" s="4"/>
      <c r="G4" s="4"/>
      <c r="H4" s="4"/>
      <c r="I4" s="4"/>
      <c r="J4" s="4"/>
    </row>
    <row r="5" spans="1:10" x14ac:dyDescent="0.25">
      <c r="A5" s="10" t="s">
        <v>111</v>
      </c>
      <c r="B5" s="11"/>
      <c r="C5" s="11"/>
      <c r="D5" s="11"/>
      <c r="E5" s="11"/>
      <c r="F5" s="11"/>
      <c r="G5" s="11"/>
      <c r="H5" s="11"/>
      <c r="I5" s="11"/>
      <c r="J5" s="4"/>
    </row>
    <row r="6" spans="1:10" x14ac:dyDescent="0.25">
      <c r="A6" s="4" t="s">
        <v>79</v>
      </c>
      <c r="B6" s="17">
        <v>604</v>
      </c>
      <c r="C6" s="17">
        <v>643</v>
      </c>
      <c r="D6" s="17">
        <v>497</v>
      </c>
      <c r="E6" s="26">
        <f>E10*(D6/D10)</f>
        <v>520.49394697877653</v>
      </c>
      <c r="F6" s="26">
        <f>F10*(D6/D10)</f>
        <v>525.98911381779021</v>
      </c>
      <c r="G6" s="26">
        <f>G10*(D6/D10)</f>
        <v>520.39982063429761</v>
      </c>
      <c r="H6" s="26">
        <f>H10*(D6/D10)</f>
        <v>533.12181312297196</v>
      </c>
      <c r="I6" s="26">
        <f>I10*(D6/D10)</f>
        <v>531.53429889582264</v>
      </c>
      <c r="J6" s="4"/>
    </row>
    <row r="7" spans="1:10" x14ac:dyDescent="0.25">
      <c r="A7" s="4" t="s">
        <v>80</v>
      </c>
      <c r="B7" s="17">
        <v>178</v>
      </c>
      <c r="C7" s="17">
        <v>154</v>
      </c>
      <c r="D7" s="17">
        <v>112</v>
      </c>
      <c r="E7" s="26">
        <f>E10*(D7/D10)</f>
        <v>117.29441058676656</v>
      </c>
      <c r="F7" s="26">
        <f>F10*(D7/D10)</f>
        <v>118.53275804344568</v>
      </c>
      <c r="G7" s="26">
        <f>G10*(D7/D10)</f>
        <v>117.27319901617976</v>
      </c>
      <c r="H7" s="26">
        <f>H10*(D7/D10)</f>
        <v>120.14012690095143</v>
      </c>
      <c r="I7" s="26">
        <f>I10*(D7/D10)</f>
        <v>119.78237721596005</v>
      </c>
      <c r="J7" s="4"/>
    </row>
    <row r="8" spans="1:10" x14ac:dyDescent="0.25">
      <c r="A8" s="4" t="s">
        <v>81</v>
      </c>
      <c r="B8" s="17">
        <v>163</v>
      </c>
      <c r="C8" s="17">
        <v>115</v>
      </c>
      <c r="D8" s="17">
        <v>105</v>
      </c>
      <c r="E8" s="26">
        <f>E10*(D8/D10)</f>
        <v>109.96350992509363</v>
      </c>
      <c r="F8" s="26">
        <f>F10*(D8/D10)</f>
        <v>111.12446066573031</v>
      </c>
      <c r="G8" s="26">
        <f>G10*(D8/D10)</f>
        <v>109.94362407766852</v>
      </c>
      <c r="H8" s="26">
        <f>H10*(D8/D10)</f>
        <v>112.63136896964195</v>
      </c>
      <c r="I8" s="26">
        <f>I10*(D8/D10)</f>
        <v>112.29597863996254</v>
      </c>
      <c r="J8" s="4"/>
    </row>
    <row r="9" spans="1:10" x14ac:dyDescent="0.25">
      <c r="A9" s="4" t="s">
        <v>112</v>
      </c>
      <c r="B9" s="17">
        <v>68</v>
      </c>
      <c r="C9" s="17">
        <v>112</v>
      </c>
      <c r="D9" s="17">
        <v>87</v>
      </c>
      <c r="E9" s="26">
        <f>E10*(D9/D10)</f>
        <v>91.112622509363305</v>
      </c>
      <c r="F9" s="26">
        <f>F10*(D9/D10)</f>
        <v>92.074553123033695</v>
      </c>
      <c r="G9" s="26">
        <f>G10*(D9/D10)</f>
        <v>91.096145664353926</v>
      </c>
      <c r="H9" s="26">
        <f>H10*(D9/D10)</f>
        <v>93.323134289131914</v>
      </c>
      <c r="I9" s="26">
        <f>I10*(D9/D10)</f>
        <v>93.0452394445404</v>
      </c>
      <c r="J9" s="4"/>
    </row>
    <row r="10" spans="1:10" x14ac:dyDescent="0.25">
      <c r="A10" s="3" t="s">
        <v>113</v>
      </c>
      <c r="B10" s="19">
        <f>SUM(B6:B9)</f>
        <v>1013</v>
      </c>
      <c r="C10" s="19">
        <f>SUM(C6:C9)</f>
        <v>1024</v>
      </c>
      <c r="D10" s="19">
        <f>SUM(D6:D9)</f>
        <v>801</v>
      </c>
      <c r="E10" s="24">
        <f>Assumptions!E25*Revenue!E10</f>
        <v>838.86449000000005</v>
      </c>
      <c r="F10" s="24">
        <f>Assumptions!F25*Revenue!F10</f>
        <v>847.7208856499999</v>
      </c>
      <c r="G10" s="24">
        <f>Assumptions!G25*Revenue!G10</f>
        <v>838.71278939249987</v>
      </c>
      <c r="H10" s="24">
        <f>Assumptions!H25*Revenue!H10</f>
        <v>859.21644328269724</v>
      </c>
      <c r="I10" s="24">
        <f>Assumptions!I25*Revenue!I10</f>
        <v>856.65789419628572</v>
      </c>
      <c r="J10" s="4"/>
    </row>
    <row r="11" spans="1:10" x14ac:dyDescent="0.25">
      <c r="A11" s="4"/>
      <c r="B11" s="4"/>
      <c r="C11" s="4"/>
      <c r="D11" s="4"/>
      <c r="E11" s="4"/>
      <c r="F11" s="4"/>
      <c r="G11" s="4"/>
      <c r="H11" s="4"/>
      <c r="I11" s="4"/>
      <c r="J11" s="4"/>
    </row>
    <row r="12" spans="1:10" x14ac:dyDescent="0.25">
      <c r="A12" s="10" t="s">
        <v>114</v>
      </c>
      <c r="B12" s="11"/>
      <c r="C12" s="11"/>
      <c r="D12" s="11"/>
      <c r="E12" s="11"/>
      <c r="F12" s="11"/>
      <c r="G12" s="11"/>
      <c r="H12" s="11"/>
      <c r="I12" s="11"/>
      <c r="J12" s="4"/>
    </row>
    <row r="13" spans="1:10" x14ac:dyDescent="0.25">
      <c r="A13" s="4" t="s">
        <v>115</v>
      </c>
      <c r="B13" s="17">
        <v>710</v>
      </c>
      <c r="C13" s="17">
        <v>696</v>
      </c>
      <c r="D13" s="17">
        <v>722</v>
      </c>
      <c r="E13" s="16">
        <f>Assumptions!E26*Revenue!E10</f>
        <v>715.50206500000002</v>
      </c>
      <c r="F13" s="16">
        <f>Assumptions!F26*Revenue!F10</f>
        <v>723.05604952499993</v>
      </c>
      <c r="G13" s="16">
        <f>Assumptions!G26*Revenue!G10</f>
        <v>711.63509402999989</v>
      </c>
      <c r="H13" s="16">
        <f>Assumptions!H26*Revenue!H10</f>
        <v>729.03213369440971</v>
      </c>
      <c r="I13" s="16">
        <f>Assumptions!I26*Revenue!I10</f>
        <v>722.80509822811609</v>
      </c>
      <c r="J13" s="4"/>
    </row>
    <row r="14" spans="1:10" x14ac:dyDescent="0.25">
      <c r="A14" s="4" t="s">
        <v>116</v>
      </c>
      <c r="B14" s="17">
        <v>251</v>
      </c>
      <c r="C14" s="17">
        <v>252</v>
      </c>
      <c r="D14" s="17">
        <v>246</v>
      </c>
      <c r="E14" s="16">
        <f>Assumptions!E27</f>
        <v>250</v>
      </c>
      <c r="F14" s="16">
        <f>Assumptions!F27</f>
        <v>250</v>
      </c>
      <c r="G14" s="16">
        <f>Assumptions!G27</f>
        <v>250</v>
      </c>
      <c r="H14" s="16">
        <f>Assumptions!H27</f>
        <v>250</v>
      </c>
      <c r="I14" s="16">
        <f>Assumptions!I27</f>
        <v>250</v>
      </c>
      <c r="J14" s="4"/>
    </row>
    <row r="15" spans="1:10" x14ac:dyDescent="0.25">
      <c r="A15" s="3" t="s">
        <v>117</v>
      </c>
      <c r="B15" s="19">
        <f t="shared" ref="B15:I15" si="0">B13+B14</f>
        <v>961</v>
      </c>
      <c r="C15" s="19">
        <f t="shared" si="0"/>
        <v>948</v>
      </c>
      <c r="D15" s="19">
        <f t="shared" si="0"/>
        <v>968</v>
      </c>
      <c r="E15" s="19">
        <f t="shared" si="0"/>
        <v>965.50206500000002</v>
      </c>
      <c r="F15" s="19">
        <f t="shared" si="0"/>
        <v>973.05604952499993</v>
      </c>
      <c r="G15" s="19">
        <f t="shared" si="0"/>
        <v>961.63509402999989</v>
      </c>
      <c r="H15" s="19">
        <f t="shared" si="0"/>
        <v>979.03213369440971</v>
      </c>
      <c r="I15" s="19">
        <f t="shared" si="0"/>
        <v>972.80509822811609</v>
      </c>
      <c r="J15" s="4"/>
    </row>
    <row r="16" spans="1:10" x14ac:dyDescent="0.25">
      <c r="A16" s="4"/>
      <c r="B16" s="4"/>
      <c r="C16" s="4"/>
      <c r="D16" s="4"/>
      <c r="E16" s="4"/>
      <c r="F16" s="4"/>
      <c r="G16" s="4"/>
      <c r="H16" s="4"/>
      <c r="I16" s="4"/>
      <c r="J16" s="4"/>
    </row>
    <row r="17" spans="1:10" x14ac:dyDescent="0.25">
      <c r="A17" s="10" t="s">
        <v>118</v>
      </c>
      <c r="B17" s="11"/>
      <c r="C17" s="11"/>
      <c r="D17" s="11"/>
      <c r="E17" s="11"/>
      <c r="F17" s="11"/>
      <c r="G17" s="11"/>
      <c r="H17" s="11"/>
      <c r="I17" s="11"/>
      <c r="J17" s="4"/>
    </row>
    <row r="18" spans="1:10" x14ac:dyDescent="0.25">
      <c r="A18" s="4" t="s">
        <v>119</v>
      </c>
      <c r="B18" s="4"/>
      <c r="C18" s="4"/>
      <c r="D18" s="4"/>
      <c r="E18" s="26">
        <f>D21</f>
        <v>7318</v>
      </c>
      <c r="F18" s="26">
        <f>E21</f>
        <v>7441.3624250000003</v>
      </c>
      <c r="G18" s="26">
        <f>F21</f>
        <v>7566.0272611249993</v>
      </c>
      <c r="H18" s="26">
        <f>G21</f>
        <v>7693.1049564874993</v>
      </c>
      <c r="I18" s="26">
        <f>H21</f>
        <v>7823.2892660757871</v>
      </c>
      <c r="J18" s="4"/>
    </row>
    <row r="19" spans="1:10" x14ac:dyDescent="0.25">
      <c r="A19" s="4" t="s">
        <v>120</v>
      </c>
      <c r="B19" s="4"/>
      <c r="C19" s="4"/>
      <c r="D19" s="4"/>
      <c r="E19" s="26">
        <f>E10</f>
        <v>838.86449000000005</v>
      </c>
      <c r="F19" s="26">
        <f>F10</f>
        <v>847.7208856499999</v>
      </c>
      <c r="G19" s="26">
        <f>G10</f>
        <v>838.71278939249987</v>
      </c>
      <c r="H19" s="26">
        <f>H10</f>
        <v>859.21644328269724</v>
      </c>
      <c r="I19" s="26">
        <f>I10</f>
        <v>856.65789419628572</v>
      </c>
      <c r="J19" s="4"/>
    </row>
    <row r="20" spans="1:10" x14ac:dyDescent="0.25">
      <c r="A20" s="4" t="s">
        <v>121</v>
      </c>
      <c r="B20" s="4"/>
      <c r="C20" s="4"/>
      <c r="D20" s="4"/>
      <c r="E20" s="26">
        <f>-E13</f>
        <v>-715.50206500000002</v>
      </c>
      <c r="F20" s="26">
        <f>-F13</f>
        <v>-723.05604952499993</v>
      </c>
      <c r="G20" s="26">
        <f>-G13</f>
        <v>-711.63509402999989</v>
      </c>
      <c r="H20" s="26">
        <f>-H13</f>
        <v>-729.03213369440971</v>
      </c>
      <c r="I20" s="26">
        <f>-I13</f>
        <v>-722.80509822811609</v>
      </c>
      <c r="J20" s="4"/>
    </row>
    <row r="21" spans="1:10" x14ac:dyDescent="0.25">
      <c r="A21" s="3" t="s">
        <v>122</v>
      </c>
      <c r="B21" s="4"/>
      <c r="C21" s="23">
        <v>7152</v>
      </c>
      <c r="D21" s="23">
        <v>7318</v>
      </c>
      <c r="E21" s="19">
        <f>SUM(E18:E20)</f>
        <v>7441.3624250000003</v>
      </c>
      <c r="F21" s="19">
        <f>SUM(F18:F20)</f>
        <v>7566.0272611249993</v>
      </c>
      <c r="G21" s="19">
        <f>SUM(G18:G20)</f>
        <v>7693.1049564874993</v>
      </c>
      <c r="H21" s="19">
        <f>SUM(H18:H20)</f>
        <v>7823.2892660757871</v>
      </c>
      <c r="I21" s="19">
        <f>SUM(I18:I20)</f>
        <v>7957.1420620439567</v>
      </c>
      <c r="J21" s="4"/>
    </row>
    <row r="22" spans="1:10" x14ac:dyDescent="0.25">
      <c r="A22" s="4"/>
      <c r="B22" s="4"/>
      <c r="C22" s="4"/>
      <c r="D22" s="4"/>
      <c r="E22" s="4"/>
      <c r="F22" s="4"/>
      <c r="G22" s="4"/>
      <c r="H22" s="4"/>
      <c r="I22" s="4"/>
      <c r="J22" s="4"/>
    </row>
    <row r="23" spans="1:10" x14ac:dyDescent="0.25">
      <c r="A23" s="10" t="s">
        <v>123</v>
      </c>
      <c r="B23" s="11"/>
      <c r="C23" s="11"/>
      <c r="D23" s="11"/>
      <c r="E23" s="11"/>
      <c r="F23" s="11"/>
      <c r="G23" s="11"/>
      <c r="H23" s="11"/>
      <c r="I23" s="11"/>
      <c r="J23" s="4"/>
    </row>
    <row r="24" spans="1:10" x14ac:dyDescent="0.25">
      <c r="A24" s="4" t="s">
        <v>124</v>
      </c>
      <c r="B24" s="4"/>
      <c r="C24" s="4"/>
      <c r="D24" s="4"/>
      <c r="E24" s="26">
        <f>D26</f>
        <v>37529</v>
      </c>
      <c r="F24" s="26">
        <f>E26</f>
        <v>37279</v>
      </c>
      <c r="G24" s="26">
        <f>F26</f>
        <v>37029</v>
      </c>
      <c r="H24" s="26">
        <f>G26</f>
        <v>36779</v>
      </c>
      <c r="I24" s="26">
        <f>H26</f>
        <v>36529</v>
      </c>
      <c r="J24" s="4"/>
    </row>
    <row r="25" spans="1:10" x14ac:dyDescent="0.25">
      <c r="A25" s="4" t="s">
        <v>125</v>
      </c>
      <c r="B25" s="4"/>
      <c r="C25" s="4"/>
      <c r="D25" s="4"/>
      <c r="E25" s="26">
        <f>-E14</f>
        <v>-250</v>
      </c>
      <c r="F25" s="26">
        <f>-F14</f>
        <v>-250</v>
      </c>
      <c r="G25" s="26">
        <f>-G14</f>
        <v>-250</v>
      </c>
      <c r="H25" s="26">
        <f>-H14</f>
        <v>-250</v>
      </c>
      <c r="I25" s="26">
        <f>-I14</f>
        <v>-250</v>
      </c>
      <c r="J25" s="4"/>
    </row>
    <row r="26" spans="1:10" x14ac:dyDescent="0.25">
      <c r="A26" s="3" t="s">
        <v>126</v>
      </c>
      <c r="B26" s="4"/>
      <c r="C26" s="23">
        <v>40099</v>
      </c>
      <c r="D26" s="23">
        <v>37529</v>
      </c>
      <c r="E26" s="19">
        <f>E24+E25</f>
        <v>37279</v>
      </c>
      <c r="F26" s="19">
        <f>F24+F25</f>
        <v>37029</v>
      </c>
      <c r="G26" s="19">
        <f>G24+G25</f>
        <v>36779</v>
      </c>
      <c r="H26" s="19">
        <f>H24+H25</f>
        <v>36529</v>
      </c>
      <c r="I26" s="19">
        <f>I24+I25</f>
        <v>36279</v>
      </c>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31" t="s">
        <v>226</v>
      </c>
      <c r="B30" s="4"/>
      <c r="C30" s="4"/>
      <c r="D30" s="4"/>
      <c r="E30" s="4"/>
      <c r="F30" s="4"/>
      <c r="G30" s="4"/>
      <c r="H30" s="4"/>
      <c r="I30" s="4"/>
      <c r="J30" s="4"/>
    </row>
    <row r="31" spans="1:10" ht="270" x14ac:dyDescent="0.25">
      <c r="A31" s="32" t="s">
        <v>227</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2"/>
  <sheetViews>
    <sheetView showGridLines="0"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7109375" defaultRowHeight="15" x14ac:dyDescent="0.25"/>
  <cols>
    <col min="1" max="1" width="46" customWidth="1"/>
    <col min="2" max="9" width="11" customWidth="1"/>
  </cols>
  <sheetData>
    <row r="1" spans="1:10" ht="15.75" x14ac:dyDescent="0.25">
      <c r="A1" s="7" t="s">
        <v>127</v>
      </c>
      <c r="B1" s="4"/>
      <c r="C1" s="4"/>
      <c r="D1" s="4"/>
      <c r="E1" s="4"/>
      <c r="F1" s="4"/>
      <c r="G1" s="4"/>
      <c r="H1" s="4"/>
      <c r="I1" s="4"/>
      <c r="J1" s="4"/>
    </row>
    <row r="2" spans="1:10" x14ac:dyDescent="0.25">
      <c r="A2" s="4"/>
      <c r="B2" s="4"/>
      <c r="C2" s="4"/>
      <c r="D2" s="4"/>
      <c r="E2" s="4"/>
      <c r="F2" s="4"/>
      <c r="G2" s="4"/>
      <c r="H2" s="4"/>
      <c r="I2" s="4"/>
      <c r="J2" s="4"/>
    </row>
    <row r="3" spans="1:10" x14ac:dyDescent="0.25">
      <c r="A3" s="8" t="s">
        <v>40</v>
      </c>
      <c r="B3" s="9" t="s">
        <v>41</v>
      </c>
      <c r="C3" s="9" t="s">
        <v>42</v>
      </c>
      <c r="D3" s="9" t="s">
        <v>43</v>
      </c>
      <c r="E3" s="9" t="s">
        <v>44</v>
      </c>
      <c r="F3" s="9" t="s">
        <v>45</v>
      </c>
      <c r="G3" s="9" t="s">
        <v>46</v>
      </c>
      <c r="H3" s="9" t="s">
        <v>47</v>
      </c>
      <c r="I3" s="9" t="s">
        <v>48</v>
      </c>
      <c r="J3" s="4"/>
    </row>
    <row r="4" spans="1:10" x14ac:dyDescent="0.25">
      <c r="A4" s="4"/>
      <c r="B4" s="4"/>
      <c r="C4" s="4"/>
      <c r="D4" s="4"/>
      <c r="E4" s="4"/>
      <c r="F4" s="4"/>
      <c r="G4" s="4"/>
      <c r="H4" s="4"/>
      <c r="I4" s="4"/>
      <c r="J4" s="4"/>
    </row>
    <row r="5" spans="1:10" x14ac:dyDescent="0.25">
      <c r="A5" s="10" t="s">
        <v>128</v>
      </c>
      <c r="B5" s="11"/>
      <c r="C5" s="11"/>
      <c r="D5" s="11"/>
      <c r="E5" s="11"/>
      <c r="F5" s="11"/>
      <c r="G5" s="11"/>
      <c r="H5" s="11"/>
      <c r="I5" s="11"/>
      <c r="J5" s="4"/>
    </row>
    <row r="6" spans="1:10" x14ac:dyDescent="0.25">
      <c r="A6" s="4" t="s">
        <v>129</v>
      </c>
      <c r="B6" s="4"/>
      <c r="C6" s="4"/>
      <c r="D6" s="4"/>
      <c r="E6" s="26">
        <f>D10</f>
        <v>21219</v>
      </c>
      <c r="F6" s="26">
        <f>E10</f>
        <v>21219</v>
      </c>
      <c r="G6" s="26">
        <f>F10</f>
        <v>21219</v>
      </c>
      <c r="H6" s="26">
        <f>G10</f>
        <v>21219</v>
      </c>
      <c r="I6" s="26">
        <f>H10</f>
        <v>21219</v>
      </c>
      <c r="J6" s="4"/>
    </row>
    <row r="7" spans="1:10" x14ac:dyDescent="0.25">
      <c r="A7" s="4" t="s">
        <v>130</v>
      </c>
      <c r="B7" s="4"/>
      <c r="C7" s="4"/>
      <c r="D7" s="4"/>
      <c r="E7" s="17">
        <v>-1879</v>
      </c>
      <c r="F7" s="17">
        <v>-1893</v>
      </c>
      <c r="G7" s="17">
        <v>-1679</v>
      </c>
      <c r="H7" s="17">
        <v>-1009</v>
      </c>
      <c r="I7" s="17">
        <v>-915</v>
      </c>
      <c r="J7" s="4"/>
    </row>
    <row r="8" spans="1:10" x14ac:dyDescent="0.25">
      <c r="A8" s="4" t="s">
        <v>131</v>
      </c>
      <c r="B8" s="4"/>
      <c r="C8" s="4"/>
      <c r="D8" s="4"/>
      <c r="E8" s="16">
        <f>-E7*Assumptions!E31</f>
        <v>1879</v>
      </c>
      <c r="F8" s="16">
        <f>-F7*Assumptions!F31</f>
        <v>1893</v>
      </c>
      <c r="G8" s="16">
        <f>-G7*Assumptions!G31</f>
        <v>1679</v>
      </c>
      <c r="H8" s="16">
        <f>-H7*Assumptions!H31</f>
        <v>1009</v>
      </c>
      <c r="I8" s="16">
        <f>-I7*Assumptions!I31</f>
        <v>915</v>
      </c>
      <c r="J8" s="4"/>
    </row>
    <row r="9" spans="1:10" x14ac:dyDescent="0.25">
      <c r="A9" s="4" t="s">
        <v>132</v>
      </c>
      <c r="B9" s="4"/>
      <c r="C9" s="4"/>
      <c r="D9" s="4"/>
      <c r="E9" s="17">
        <v>0</v>
      </c>
      <c r="F9" s="17">
        <v>0</v>
      </c>
      <c r="G9" s="17">
        <v>0</v>
      </c>
      <c r="H9" s="17">
        <v>0</v>
      </c>
      <c r="I9" s="17">
        <v>0</v>
      </c>
      <c r="J9" s="4"/>
    </row>
    <row r="10" spans="1:10" x14ac:dyDescent="0.25">
      <c r="A10" s="3" t="s">
        <v>133</v>
      </c>
      <c r="B10" s="4"/>
      <c r="C10" s="23">
        <v>19869</v>
      </c>
      <c r="D10" s="23">
        <v>21219</v>
      </c>
      <c r="E10" s="19">
        <f>SUM(E6:E9)</f>
        <v>21219</v>
      </c>
      <c r="F10" s="19">
        <f>SUM(F6:F9)</f>
        <v>21219</v>
      </c>
      <c r="G10" s="19">
        <f>SUM(G6:G9)</f>
        <v>21219</v>
      </c>
      <c r="H10" s="19">
        <f>SUM(H6:H9)</f>
        <v>21219</v>
      </c>
      <c r="I10" s="19">
        <f>SUM(I6:I9)</f>
        <v>21219</v>
      </c>
      <c r="J10" s="4"/>
    </row>
    <row r="11" spans="1:10" x14ac:dyDescent="0.25">
      <c r="A11" s="4"/>
      <c r="B11" s="4"/>
      <c r="C11" s="4"/>
      <c r="D11" s="4"/>
      <c r="E11" s="4"/>
      <c r="F11" s="4"/>
      <c r="G11" s="4"/>
      <c r="H11" s="4"/>
      <c r="I11" s="4"/>
      <c r="J11" s="4"/>
    </row>
    <row r="12" spans="1:10" x14ac:dyDescent="0.25">
      <c r="A12" s="10" t="s">
        <v>134</v>
      </c>
      <c r="B12" s="11"/>
      <c r="C12" s="11"/>
      <c r="D12" s="11"/>
      <c r="E12" s="11"/>
      <c r="F12" s="11"/>
      <c r="G12" s="11"/>
      <c r="H12" s="11"/>
      <c r="I12" s="11"/>
      <c r="J12" s="4"/>
    </row>
    <row r="13" spans="1:10" x14ac:dyDescent="0.25">
      <c r="A13" s="4" t="s">
        <v>135</v>
      </c>
      <c r="B13" s="4"/>
      <c r="C13" s="17">
        <v>654</v>
      </c>
      <c r="D13" s="17">
        <v>1908</v>
      </c>
      <c r="E13" s="17">
        <v>1893</v>
      </c>
      <c r="F13" s="17">
        <v>1679</v>
      </c>
      <c r="G13" s="17">
        <v>1009</v>
      </c>
      <c r="H13" s="17">
        <v>915</v>
      </c>
      <c r="I13" s="17">
        <v>915</v>
      </c>
      <c r="J13" s="4"/>
    </row>
    <row r="14" spans="1:10" x14ac:dyDescent="0.25">
      <c r="A14" s="4" t="s">
        <v>136</v>
      </c>
      <c r="B14" s="4"/>
      <c r="C14" s="17">
        <v>19215</v>
      </c>
      <c r="D14" s="17">
        <v>19311</v>
      </c>
      <c r="E14" s="26">
        <f>E10-E13</f>
        <v>19326</v>
      </c>
      <c r="F14" s="26">
        <f>F10-F13</f>
        <v>19540</v>
      </c>
      <c r="G14" s="26">
        <f>G10-G13</f>
        <v>20210</v>
      </c>
      <c r="H14" s="26">
        <f>H10-H13</f>
        <v>20304</v>
      </c>
      <c r="I14" s="26">
        <f>I10-I13</f>
        <v>20304</v>
      </c>
      <c r="J14" s="4"/>
    </row>
    <row r="15" spans="1:10" x14ac:dyDescent="0.25">
      <c r="A15" s="4"/>
      <c r="B15" s="4"/>
      <c r="C15" s="4"/>
      <c r="D15" s="4"/>
      <c r="E15" s="4"/>
      <c r="F15" s="4"/>
      <c r="G15" s="4"/>
      <c r="H15" s="4"/>
      <c r="I15" s="4"/>
      <c r="J15" s="4"/>
    </row>
    <row r="16" spans="1:10" x14ac:dyDescent="0.25">
      <c r="A16" s="10" t="s">
        <v>137</v>
      </c>
      <c r="B16" s="11"/>
      <c r="C16" s="11"/>
      <c r="D16" s="11"/>
      <c r="E16" s="11"/>
      <c r="F16" s="11"/>
      <c r="G16" s="11"/>
      <c r="H16" s="11"/>
      <c r="I16" s="11"/>
      <c r="J16" s="4"/>
    </row>
    <row r="17" spans="1:10" x14ac:dyDescent="0.25">
      <c r="A17" s="4" t="s">
        <v>138</v>
      </c>
      <c r="B17" s="4"/>
      <c r="C17" s="4"/>
      <c r="D17" s="26">
        <f>AVERAGE(C10,D10)</f>
        <v>20544</v>
      </c>
      <c r="E17" s="26">
        <f>AVERAGE(E6,E10)</f>
        <v>21219</v>
      </c>
      <c r="F17" s="26">
        <f>AVERAGE(F6,F10)</f>
        <v>21219</v>
      </c>
      <c r="G17" s="26">
        <f>AVERAGE(G6,G10)</f>
        <v>21219</v>
      </c>
      <c r="H17" s="26">
        <f>AVERAGE(H6,H10)</f>
        <v>21219</v>
      </c>
      <c r="I17" s="26">
        <f>AVERAGE(I6,I10)</f>
        <v>21219</v>
      </c>
      <c r="J17" s="4"/>
    </row>
    <row r="18" spans="1:10" x14ac:dyDescent="0.25">
      <c r="A18" s="3" t="s">
        <v>139</v>
      </c>
      <c r="B18" s="23">
        <v>912</v>
      </c>
      <c r="C18" s="23">
        <v>912</v>
      </c>
      <c r="D18" s="23">
        <v>947</v>
      </c>
      <c r="E18" s="24">
        <f>E17*Assumptions!E30</f>
        <v>976.07399999999996</v>
      </c>
      <c r="F18" s="24">
        <f>F17*Assumptions!F30</f>
        <v>976.07399999999996</v>
      </c>
      <c r="G18" s="24">
        <f>G17*Assumptions!G30</f>
        <v>976.07399999999996</v>
      </c>
      <c r="H18" s="24">
        <f>H17*Assumptions!H30</f>
        <v>976.07399999999996</v>
      </c>
      <c r="I18" s="24">
        <f>I17*Assumptions!I30</f>
        <v>976.07399999999996</v>
      </c>
      <c r="J18" s="4"/>
    </row>
    <row r="19" spans="1:10" x14ac:dyDescent="0.25">
      <c r="A19" s="4"/>
      <c r="B19" s="4"/>
      <c r="C19" s="4"/>
      <c r="D19" s="4"/>
      <c r="E19" s="4"/>
      <c r="F19" s="4"/>
      <c r="G19" s="4"/>
      <c r="H19" s="4"/>
      <c r="I19" s="4"/>
      <c r="J19" s="4"/>
    </row>
    <row r="20" spans="1:10" x14ac:dyDescent="0.25">
      <c r="A20" s="4"/>
      <c r="B20" s="4"/>
      <c r="C20" s="4"/>
      <c r="D20" s="4"/>
      <c r="E20" s="4"/>
      <c r="F20" s="4"/>
      <c r="G20" s="4"/>
      <c r="H20" s="4"/>
      <c r="I20" s="4"/>
      <c r="J20" s="4"/>
    </row>
    <row r="21" spans="1:10" x14ac:dyDescent="0.25">
      <c r="A21" s="4"/>
      <c r="B21" s="4"/>
      <c r="C21" s="4"/>
      <c r="D21" s="4"/>
      <c r="E21" s="4"/>
      <c r="F21" s="4"/>
      <c r="G21" s="4"/>
      <c r="H21" s="4"/>
      <c r="I21" s="4"/>
      <c r="J21" s="4"/>
    </row>
    <row r="22" spans="1:10" x14ac:dyDescent="0.25">
      <c r="A22" s="4"/>
      <c r="B22" s="4"/>
      <c r="C22" s="4"/>
      <c r="D22" s="4"/>
      <c r="E22" s="4"/>
      <c r="F22" s="4"/>
      <c r="G22" s="4"/>
      <c r="H22" s="4"/>
      <c r="I22" s="4"/>
      <c r="J22" s="4"/>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8"/>
  <sheetViews>
    <sheetView showGridLines="0" zoomScaleNormal="100" workbookViewId="0">
      <pane xSplit="1" ySplit="3" topLeftCell="B4" activePane="bottomRight" state="frozen"/>
      <selection pane="topRight" activeCell="B1" sqref="B1"/>
      <selection pane="bottomLeft" activeCell="A4" sqref="A4"/>
      <selection pane="bottomRight" activeCell="A17" sqref="A17"/>
    </sheetView>
  </sheetViews>
  <sheetFormatPr baseColWidth="10" defaultColWidth="8.7109375" defaultRowHeight="15" x14ac:dyDescent="0.25"/>
  <cols>
    <col min="1" max="1" width="46" customWidth="1"/>
    <col min="2" max="9" width="11" customWidth="1"/>
  </cols>
  <sheetData>
    <row r="1" spans="1:10" ht="15.75" x14ac:dyDescent="0.25">
      <c r="A1" s="7" t="s">
        <v>140</v>
      </c>
      <c r="B1" s="4"/>
      <c r="C1" s="4"/>
      <c r="D1" s="4"/>
      <c r="E1" s="4"/>
      <c r="F1" s="4"/>
      <c r="G1" s="4"/>
      <c r="H1" s="4"/>
      <c r="I1" s="4"/>
      <c r="J1" s="4"/>
    </row>
    <row r="2" spans="1:10" x14ac:dyDescent="0.25">
      <c r="A2" s="4"/>
      <c r="B2" s="4"/>
      <c r="C2" s="4"/>
      <c r="D2" s="4"/>
      <c r="E2" s="4"/>
      <c r="F2" s="4"/>
      <c r="G2" s="4"/>
      <c r="H2" s="4"/>
      <c r="I2" s="4"/>
      <c r="J2" s="4"/>
    </row>
    <row r="3" spans="1:10" x14ac:dyDescent="0.25">
      <c r="A3" s="8" t="s">
        <v>40</v>
      </c>
      <c r="B3" s="9" t="s">
        <v>41</v>
      </c>
      <c r="C3" s="9" t="s">
        <v>42</v>
      </c>
      <c r="D3" s="9" t="s">
        <v>43</v>
      </c>
      <c r="E3" s="9" t="s">
        <v>44</v>
      </c>
      <c r="F3" s="9" t="s">
        <v>45</v>
      </c>
      <c r="G3" s="9" t="s">
        <v>46</v>
      </c>
      <c r="H3" s="9" t="s">
        <v>47</v>
      </c>
      <c r="I3" s="9" t="s">
        <v>48</v>
      </c>
      <c r="J3" s="4"/>
    </row>
    <row r="4" spans="1:10" x14ac:dyDescent="0.25">
      <c r="A4" s="4"/>
      <c r="B4" s="4"/>
      <c r="C4" s="4"/>
      <c r="D4" s="4"/>
      <c r="E4" s="4"/>
      <c r="F4" s="4"/>
      <c r="G4" s="4"/>
      <c r="H4" s="4"/>
      <c r="I4" s="4"/>
      <c r="J4" s="4"/>
    </row>
    <row r="5" spans="1:10" x14ac:dyDescent="0.25">
      <c r="A5" s="10" t="s">
        <v>141</v>
      </c>
      <c r="B5" s="11"/>
      <c r="C5" s="11"/>
      <c r="D5" s="11"/>
      <c r="E5" s="11"/>
      <c r="F5" s="11"/>
      <c r="G5" s="11"/>
      <c r="H5" s="11"/>
      <c r="I5" s="11"/>
      <c r="J5" s="4"/>
    </row>
    <row r="6" spans="1:10" x14ac:dyDescent="0.25">
      <c r="A6" s="3" t="s">
        <v>142</v>
      </c>
      <c r="B6" s="27">
        <f>Revenue!B10</f>
        <v>26640</v>
      </c>
      <c r="C6" s="27">
        <f>Revenue!C10</f>
        <v>25846</v>
      </c>
      <c r="D6" s="27">
        <f>Revenue!D10</f>
        <v>24942</v>
      </c>
      <c r="E6" s="27">
        <f>Revenue!E10</f>
        <v>24672.485000000001</v>
      </c>
      <c r="F6" s="27">
        <f>Revenue!F10</f>
        <v>24932.967224999997</v>
      </c>
      <c r="G6" s="27">
        <f>Revenue!G10</f>
        <v>25415.539072499996</v>
      </c>
      <c r="H6" s="27">
        <f>Revenue!H10</f>
        <v>26036.86191765749</v>
      </c>
      <c r="I6" s="27">
        <f>Revenue!I10</f>
        <v>26770.55919363393</v>
      </c>
      <c r="J6" s="4"/>
    </row>
    <row r="7" spans="1:10" x14ac:dyDescent="0.25">
      <c r="A7" s="4" t="s">
        <v>143</v>
      </c>
      <c r="B7" s="16">
        <f>-COGS!B10</f>
        <v>-17714</v>
      </c>
      <c r="C7" s="16">
        <f>-COGS!C10</f>
        <v>-16878</v>
      </c>
      <c r="D7" s="16">
        <f>-COGS!D10</f>
        <v>-16633</v>
      </c>
      <c r="E7" s="16">
        <f>-COGS!E10</f>
        <v>-16464.854274999998</v>
      </c>
      <c r="F7" s="16">
        <f>-COGS!F10</f>
        <v>-16592.910846749997</v>
      </c>
      <c r="G7" s="16">
        <f>-COGS!G10</f>
        <v>-16847.815135544995</v>
      </c>
      <c r="H7" s="16">
        <f>-COGS!H10</f>
        <v>-17214.171179816829</v>
      </c>
      <c r="I7" s="16">
        <f>-COGS!I10</f>
        <v>-17624.060633100653</v>
      </c>
      <c r="J7" s="4"/>
    </row>
    <row r="8" spans="1:10" x14ac:dyDescent="0.25">
      <c r="A8" s="3" t="s">
        <v>144</v>
      </c>
      <c r="B8" s="19">
        <f t="shared" ref="B8:I8" si="0">B6+B7</f>
        <v>8926</v>
      </c>
      <c r="C8" s="19">
        <f t="shared" si="0"/>
        <v>8968</v>
      </c>
      <c r="D8" s="19">
        <f t="shared" si="0"/>
        <v>8309</v>
      </c>
      <c r="E8" s="19">
        <f t="shared" si="0"/>
        <v>8207.6307250000027</v>
      </c>
      <c r="F8" s="19">
        <f t="shared" si="0"/>
        <v>8340.0563782499994</v>
      </c>
      <c r="G8" s="19">
        <f t="shared" si="0"/>
        <v>8567.7239369550007</v>
      </c>
      <c r="H8" s="19">
        <f t="shared" si="0"/>
        <v>8822.6907378406613</v>
      </c>
      <c r="I8" s="19">
        <f t="shared" si="0"/>
        <v>9146.4985605332768</v>
      </c>
      <c r="J8" s="4"/>
    </row>
    <row r="9" spans="1:10" x14ac:dyDescent="0.25">
      <c r="A9" s="4" t="s">
        <v>145</v>
      </c>
      <c r="B9" s="16">
        <f>-OpEx!B6</f>
        <v>-3692</v>
      </c>
      <c r="C9" s="16">
        <f>-OpEx!C6</f>
        <v>-3616</v>
      </c>
      <c r="D9" s="16">
        <f>-OpEx!D6</f>
        <v>-3672</v>
      </c>
      <c r="E9" s="16">
        <f>-OpEx!E6</f>
        <v>-3727.0799999999995</v>
      </c>
      <c r="F9" s="16">
        <f>-OpEx!F6</f>
        <v>-3801.6215999999995</v>
      </c>
      <c r="G9" s="16">
        <f>-OpEx!G6</f>
        <v>-3877.6540319999995</v>
      </c>
      <c r="H9" s="16">
        <f>-OpEx!H6</f>
        <v>-3974.5953827999992</v>
      </c>
      <c r="I9" s="16">
        <f>-OpEx!I6</f>
        <v>-4073.9602673699987</v>
      </c>
      <c r="J9" s="4"/>
    </row>
    <row r="10" spans="1:10" x14ac:dyDescent="0.25">
      <c r="A10" s="4" t="s">
        <v>146</v>
      </c>
      <c r="B10" s="17">
        <v>-510</v>
      </c>
      <c r="C10" s="17">
        <v>-1638</v>
      </c>
      <c r="D10" s="17">
        <v>-6734</v>
      </c>
      <c r="E10" s="17">
        <v>0</v>
      </c>
      <c r="F10" s="17">
        <v>0</v>
      </c>
      <c r="G10" s="17">
        <v>0</v>
      </c>
      <c r="H10" s="17">
        <v>0</v>
      </c>
      <c r="I10" s="17">
        <v>0</v>
      </c>
      <c r="J10" s="4"/>
    </row>
    <row r="11" spans="1:10" x14ac:dyDescent="0.25">
      <c r="A11" s="4" t="s">
        <v>147</v>
      </c>
      <c r="B11" s="17">
        <v>-152</v>
      </c>
      <c r="C11" s="17">
        <v>-2031</v>
      </c>
      <c r="D11" s="17">
        <v>-2572</v>
      </c>
      <c r="E11" s="17">
        <v>0</v>
      </c>
      <c r="F11" s="17">
        <v>0</v>
      </c>
      <c r="G11" s="17">
        <v>0</v>
      </c>
      <c r="H11" s="17">
        <v>0</v>
      </c>
      <c r="I11" s="17">
        <v>0</v>
      </c>
      <c r="J11" s="4"/>
    </row>
    <row r="12" spans="1:10" x14ac:dyDescent="0.25">
      <c r="A12" s="3" t="s">
        <v>148</v>
      </c>
      <c r="B12" s="19">
        <f t="shared" ref="B12:I12" si="1">B8+B9+B10+B11</f>
        <v>4572</v>
      </c>
      <c r="C12" s="19">
        <f t="shared" si="1"/>
        <v>1683</v>
      </c>
      <c r="D12" s="19">
        <f t="shared" si="1"/>
        <v>-4669</v>
      </c>
      <c r="E12" s="19">
        <f t="shared" si="1"/>
        <v>4480.5507250000028</v>
      </c>
      <c r="F12" s="19">
        <f t="shared" si="1"/>
        <v>4538.4347782499999</v>
      </c>
      <c r="G12" s="19">
        <f t="shared" si="1"/>
        <v>4690.0699049550012</v>
      </c>
      <c r="H12" s="19">
        <f t="shared" si="1"/>
        <v>4848.0953550406621</v>
      </c>
      <c r="I12" s="19">
        <f t="shared" si="1"/>
        <v>5072.5382931632776</v>
      </c>
      <c r="J12" s="4"/>
    </row>
    <row r="13" spans="1:10" x14ac:dyDescent="0.25">
      <c r="A13" s="4"/>
      <c r="B13" s="4"/>
      <c r="C13" s="4"/>
      <c r="D13" s="4"/>
      <c r="E13" s="4"/>
      <c r="F13" s="4"/>
      <c r="G13" s="4"/>
      <c r="H13" s="4"/>
      <c r="I13" s="4"/>
      <c r="J13" s="4"/>
    </row>
    <row r="14" spans="1:10" x14ac:dyDescent="0.25">
      <c r="A14" s="4" t="s">
        <v>139</v>
      </c>
      <c r="B14" s="16">
        <f>-Debt!B18</f>
        <v>-912</v>
      </c>
      <c r="C14" s="16">
        <f>-Debt!C18</f>
        <v>-912</v>
      </c>
      <c r="D14" s="16">
        <f>-Debt!D18</f>
        <v>-947</v>
      </c>
      <c r="E14" s="16">
        <f>-Debt!E18</f>
        <v>-976.07399999999996</v>
      </c>
      <c r="F14" s="16">
        <f>-Debt!F18</f>
        <v>-976.07399999999996</v>
      </c>
      <c r="G14" s="16">
        <f>-Debt!G18</f>
        <v>-976.07399999999996</v>
      </c>
      <c r="H14" s="16">
        <f>-Debt!H18</f>
        <v>-976.07399999999996</v>
      </c>
      <c r="I14" s="16">
        <f>-Debt!I18</f>
        <v>-976.07399999999996</v>
      </c>
      <c r="J14" s="4"/>
    </row>
    <row r="15" spans="1:10" x14ac:dyDescent="0.25">
      <c r="A15" s="4" t="s">
        <v>149</v>
      </c>
      <c r="B15" s="17">
        <v>-27</v>
      </c>
      <c r="C15" s="17">
        <v>85</v>
      </c>
      <c r="D15" s="17">
        <v>171</v>
      </c>
      <c r="E15" s="16">
        <f>-Assumptions!E35</f>
        <v>100</v>
      </c>
      <c r="F15" s="16">
        <f>-Assumptions!F35</f>
        <v>100</v>
      </c>
      <c r="G15" s="16">
        <f>-Assumptions!G35</f>
        <v>100</v>
      </c>
      <c r="H15" s="16">
        <f>-Assumptions!H35</f>
        <v>100</v>
      </c>
      <c r="I15" s="16">
        <f>-Assumptions!I35</f>
        <v>100</v>
      </c>
      <c r="J15" s="4"/>
    </row>
    <row r="16" spans="1:10" x14ac:dyDescent="0.25">
      <c r="A16" s="3" t="s">
        <v>150</v>
      </c>
      <c r="B16" s="19">
        <f t="shared" ref="B16:I16" si="2">B12+B14+B15</f>
        <v>3633</v>
      </c>
      <c r="C16" s="19">
        <f t="shared" si="2"/>
        <v>856</v>
      </c>
      <c r="D16" s="19">
        <f t="shared" si="2"/>
        <v>-5445</v>
      </c>
      <c r="E16" s="19">
        <f t="shared" si="2"/>
        <v>3604.4767250000027</v>
      </c>
      <c r="F16" s="19">
        <f t="shared" si="2"/>
        <v>3662.3607782499998</v>
      </c>
      <c r="G16" s="19">
        <f t="shared" si="2"/>
        <v>3813.9959049550012</v>
      </c>
      <c r="H16" s="19">
        <f t="shared" si="2"/>
        <v>3972.021355040662</v>
      </c>
      <c r="I16" s="19">
        <f t="shared" si="2"/>
        <v>4196.4642931632779</v>
      </c>
      <c r="J16" s="4"/>
    </row>
    <row r="17" spans="1:10" x14ac:dyDescent="0.25">
      <c r="A17" s="4" t="s">
        <v>151</v>
      </c>
      <c r="B17" s="17">
        <v>787</v>
      </c>
      <c r="C17" s="17">
        <v>-1890</v>
      </c>
      <c r="D17" s="17">
        <v>403</v>
      </c>
      <c r="E17" s="16">
        <f>E16*Assumptions!E34</f>
        <v>901.11918125000068</v>
      </c>
      <c r="F17" s="16">
        <f>F16*Assumptions!F34</f>
        <v>915.59019456249996</v>
      </c>
      <c r="G17" s="16">
        <f>G16*Assumptions!G34</f>
        <v>953.49897623875029</v>
      </c>
      <c r="H17" s="16">
        <f>H16*Assumptions!H34</f>
        <v>993.0053387601655</v>
      </c>
      <c r="I17" s="16">
        <f>I16*Assumptions!I34</f>
        <v>1049.1160732908195</v>
      </c>
      <c r="J17" s="4"/>
    </row>
    <row r="18" spans="1:10" x14ac:dyDescent="0.25">
      <c r="A18" s="3" t="s">
        <v>152</v>
      </c>
      <c r="B18" s="28">
        <f t="shared" ref="B18:I18" si="3">B16-B17</f>
        <v>2846</v>
      </c>
      <c r="C18" s="28">
        <f t="shared" si="3"/>
        <v>2746</v>
      </c>
      <c r="D18" s="28">
        <f t="shared" si="3"/>
        <v>-5848</v>
      </c>
      <c r="E18" s="28">
        <f t="shared" si="3"/>
        <v>2703.3575437500022</v>
      </c>
      <c r="F18" s="28">
        <f t="shared" si="3"/>
        <v>2746.7705836874998</v>
      </c>
      <c r="G18" s="28">
        <f t="shared" si="3"/>
        <v>2860.4969287162507</v>
      </c>
      <c r="H18" s="28">
        <f t="shared" si="3"/>
        <v>2979.0160162804964</v>
      </c>
      <c r="I18" s="28">
        <f t="shared" si="3"/>
        <v>3147.3482198724587</v>
      </c>
      <c r="J18" s="4"/>
    </row>
    <row r="19" spans="1:10" x14ac:dyDescent="0.25">
      <c r="A19" s="4"/>
      <c r="B19" s="4"/>
      <c r="C19" s="4"/>
      <c r="D19" s="4"/>
      <c r="E19" s="4"/>
      <c r="F19" s="4"/>
      <c r="G19" s="4"/>
      <c r="H19" s="4"/>
      <c r="I19" s="4"/>
      <c r="J19" s="4"/>
    </row>
    <row r="20" spans="1:10" x14ac:dyDescent="0.25">
      <c r="A20" s="10" t="s">
        <v>153</v>
      </c>
      <c r="B20" s="11"/>
      <c r="C20" s="11"/>
      <c r="D20" s="11"/>
      <c r="E20" s="11"/>
      <c r="F20" s="11"/>
      <c r="G20" s="11"/>
      <c r="H20" s="11"/>
      <c r="I20" s="11"/>
      <c r="J20" s="4"/>
    </row>
    <row r="21" spans="1:10" x14ac:dyDescent="0.25">
      <c r="A21" s="4" t="s">
        <v>154</v>
      </c>
      <c r="B21" s="20">
        <f t="shared" ref="B21:I21" si="4">B8/B6</f>
        <v>0.33506006006006006</v>
      </c>
      <c r="C21" s="20">
        <f t="shared" si="4"/>
        <v>0.34697825582295133</v>
      </c>
      <c r="D21" s="20">
        <f t="shared" si="4"/>
        <v>0.33313286825435007</v>
      </c>
      <c r="E21" s="20">
        <f t="shared" si="4"/>
        <v>0.33266331806463767</v>
      </c>
      <c r="F21" s="20">
        <f t="shared" si="4"/>
        <v>0.33449915138409686</v>
      </c>
      <c r="G21" s="20">
        <f t="shared" si="4"/>
        <v>0.33710573332774241</v>
      </c>
      <c r="H21" s="20">
        <f t="shared" si="4"/>
        <v>0.33885384366759469</v>
      </c>
      <c r="I21" s="20">
        <f t="shared" si="4"/>
        <v>0.34166258890506573</v>
      </c>
      <c r="J21" s="4"/>
    </row>
    <row r="22" spans="1:10" x14ac:dyDescent="0.25">
      <c r="A22" s="4" t="s">
        <v>155</v>
      </c>
      <c r="B22" s="20">
        <f t="shared" ref="B22:I22" si="5">B12/B6</f>
        <v>0.17162162162162162</v>
      </c>
      <c r="C22" s="20">
        <f t="shared" si="5"/>
        <v>6.5116459026541826E-2</v>
      </c>
      <c r="D22" s="20">
        <f t="shared" si="5"/>
        <v>-0.18719429075455055</v>
      </c>
      <c r="E22" s="20">
        <f t="shared" si="5"/>
        <v>0.18160111253487449</v>
      </c>
      <c r="F22" s="20">
        <f t="shared" si="5"/>
        <v>0.18202545799279615</v>
      </c>
      <c r="G22" s="20">
        <f t="shared" si="5"/>
        <v>0.18453552732350773</v>
      </c>
      <c r="H22" s="20">
        <f t="shared" si="5"/>
        <v>0.18620121619774832</v>
      </c>
      <c r="I22" s="20">
        <f t="shared" si="5"/>
        <v>0.18948196996832001</v>
      </c>
      <c r="J22" s="4"/>
    </row>
    <row r="23" spans="1:10" x14ac:dyDescent="0.25">
      <c r="A23" s="4" t="s">
        <v>156</v>
      </c>
      <c r="B23" s="20">
        <f t="shared" ref="B23:I23" si="6">B18/B6</f>
        <v>0.10683183183183183</v>
      </c>
      <c r="C23" s="20">
        <f t="shared" si="6"/>
        <v>0.10624468002785731</v>
      </c>
      <c r="D23" s="20">
        <f t="shared" si="6"/>
        <v>-0.23446395637879883</v>
      </c>
      <c r="E23" s="20">
        <f t="shared" si="6"/>
        <v>0.10956973096751309</v>
      </c>
      <c r="F23" s="20">
        <f t="shared" si="6"/>
        <v>0.11016621322685351</v>
      </c>
      <c r="G23" s="20">
        <f t="shared" si="6"/>
        <v>0.1125491346280887</v>
      </c>
      <c r="H23" s="20">
        <f t="shared" si="6"/>
        <v>0.11441532492286288</v>
      </c>
      <c r="I23" s="20">
        <f t="shared" si="6"/>
        <v>0.11756751874727002</v>
      </c>
      <c r="J23" s="4"/>
    </row>
    <row r="24" spans="1:10" x14ac:dyDescent="0.25">
      <c r="A24" s="4" t="s">
        <v>157</v>
      </c>
      <c r="B24" s="18">
        <v>2.33</v>
      </c>
      <c r="C24" s="18">
        <v>2.27</v>
      </c>
      <c r="D24" s="18">
        <v>-4.93</v>
      </c>
      <c r="E24" s="29">
        <f>E18/Assumptions!E37</f>
        <v>2.2832411687077721</v>
      </c>
      <c r="F24" s="29">
        <f>F18/Assumptions!F37</f>
        <v>2.3199075875739017</v>
      </c>
      <c r="G24" s="29">
        <f>G18/Assumptions!G37</f>
        <v>2.4159602438481849</v>
      </c>
      <c r="H24" s="29">
        <f>H18/Assumptions!H37</f>
        <v>2.5160608245612299</v>
      </c>
      <c r="I24" s="29">
        <f>I18/Assumptions!I37</f>
        <v>2.6582332938111981</v>
      </c>
      <c r="J24" s="4"/>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4"/>
      <c r="B27" s="4"/>
      <c r="C27" s="4"/>
      <c r="D27" s="4"/>
      <c r="E27" s="4"/>
      <c r="F27" s="4"/>
      <c r="G27" s="4"/>
      <c r="H27" s="4"/>
      <c r="I27" s="4"/>
      <c r="J27" s="4"/>
    </row>
    <row r="28" spans="1:10" x14ac:dyDescent="0.25">
      <c r="A28" s="4"/>
      <c r="B28" s="4"/>
      <c r="C28" s="4"/>
      <c r="D28" s="4"/>
      <c r="E28" s="4"/>
      <c r="F28" s="4"/>
      <c r="G28" s="4"/>
      <c r="H28" s="4"/>
      <c r="I28" s="4"/>
      <c r="J28" s="4"/>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8"/>
  <sheetViews>
    <sheetView showGridLines="0" zoomScaleNormal="100" workbookViewId="0">
      <pane xSplit="1" ySplit="3" topLeftCell="B4" activePane="bottomRight" state="frozen"/>
      <selection pane="topRight" activeCell="B1" sqref="B1"/>
      <selection pane="bottomLeft" activeCell="A4" sqref="A4"/>
      <selection pane="bottomRight" activeCell="D7" sqref="D7"/>
    </sheetView>
  </sheetViews>
  <sheetFormatPr baseColWidth="10" defaultColWidth="8.7109375" defaultRowHeight="15" x14ac:dyDescent="0.25"/>
  <cols>
    <col min="1" max="1" width="46" customWidth="1"/>
    <col min="2" max="9" width="11" customWidth="1"/>
  </cols>
  <sheetData>
    <row r="1" spans="1:10" ht="15.75" x14ac:dyDescent="0.25">
      <c r="A1" s="7" t="s">
        <v>158</v>
      </c>
      <c r="B1" s="4"/>
      <c r="C1" s="4"/>
      <c r="D1" s="4"/>
      <c r="E1" s="4"/>
      <c r="F1" s="4"/>
      <c r="G1" s="4"/>
      <c r="H1" s="4"/>
      <c r="I1" s="4"/>
      <c r="J1" s="4"/>
    </row>
    <row r="2" spans="1:10" x14ac:dyDescent="0.25">
      <c r="A2" s="4"/>
      <c r="B2" s="4"/>
      <c r="C2" s="4"/>
      <c r="D2" s="4"/>
      <c r="E2" s="4"/>
      <c r="F2" s="4"/>
      <c r="G2" s="4"/>
      <c r="H2" s="4"/>
      <c r="I2" s="4"/>
      <c r="J2" s="4"/>
    </row>
    <row r="3" spans="1:10" x14ac:dyDescent="0.25">
      <c r="A3" s="8" t="s">
        <v>40</v>
      </c>
      <c r="B3" s="9" t="s">
        <v>41</v>
      </c>
      <c r="C3" s="9" t="s">
        <v>42</v>
      </c>
      <c r="D3" s="9" t="s">
        <v>43</v>
      </c>
      <c r="E3" s="9" t="s">
        <v>44</v>
      </c>
      <c r="F3" s="9" t="s">
        <v>45</v>
      </c>
      <c r="G3" s="9" t="s">
        <v>46</v>
      </c>
      <c r="H3" s="9" t="s">
        <v>47</v>
      </c>
      <c r="I3" s="9" t="s">
        <v>48</v>
      </c>
      <c r="J3" s="4"/>
    </row>
    <row r="4" spans="1:10" x14ac:dyDescent="0.25">
      <c r="A4" s="4"/>
      <c r="B4" s="4"/>
      <c r="C4" s="4"/>
      <c r="D4" s="4"/>
      <c r="E4" s="4"/>
      <c r="F4" s="4"/>
      <c r="G4" s="4"/>
      <c r="H4" s="4"/>
      <c r="I4" s="4"/>
      <c r="J4" s="4"/>
    </row>
    <row r="5" spans="1:10" x14ac:dyDescent="0.25">
      <c r="A5" s="10" t="s">
        <v>159</v>
      </c>
      <c r="B5" s="11"/>
      <c r="C5" s="11"/>
      <c r="D5" s="11"/>
      <c r="E5" s="11"/>
      <c r="F5" s="11"/>
      <c r="G5" s="11"/>
      <c r="H5" s="11"/>
      <c r="I5" s="11"/>
      <c r="J5" s="4"/>
    </row>
    <row r="6" spans="1:10" x14ac:dyDescent="0.25">
      <c r="A6" s="4" t="s">
        <v>160</v>
      </c>
      <c r="B6" s="4"/>
      <c r="C6" s="17">
        <v>1334</v>
      </c>
      <c r="D6" s="17">
        <v>2615</v>
      </c>
      <c r="E6" s="16">
        <f>CFS!E29</f>
        <v>3249.7710260102763</v>
      </c>
      <c r="F6" s="16">
        <f>CFS!F29</f>
        <v>3758.5081935378439</v>
      </c>
      <c r="G6" s="16">
        <f>CFS!G29</f>
        <v>4322.7535771106768</v>
      </c>
      <c r="H6" s="16">
        <f>CFS!H29</f>
        <v>5045.2733125288014</v>
      </c>
      <c r="I6" s="16">
        <f>CFS!I29</f>
        <v>5879.4780366652121</v>
      </c>
      <c r="J6" s="4"/>
    </row>
    <row r="7" spans="1:10" x14ac:dyDescent="0.25">
      <c r="A7" s="4" t="s">
        <v>161</v>
      </c>
      <c r="B7" s="4"/>
      <c r="C7" s="17">
        <v>2147</v>
      </c>
      <c r="D7" s="17">
        <v>2254</v>
      </c>
      <c r="E7" s="16">
        <f>NWC!E6</f>
        <v>2230.6630273972601</v>
      </c>
      <c r="F7" s="16">
        <f>NWC!F6</f>
        <v>2254.2134751369863</v>
      </c>
      <c r="G7" s="16">
        <f>NWC!G6</f>
        <v>2297.8432586095887</v>
      </c>
      <c r="H7" s="16">
        <f>NWC!H6</f>
        <v>2354.0176528293073</v>
      </c>
      <c r="I7" s="16">
        <f>NWC!I6</f>
        <v>2420.3519270956704</v>
      </c>
      <c r="J7" s="4"/>
    </row>
    <row r="8" spans="1:10" x14ac:dyDescent="0.25">
      <c r="A8" s="4" t="s">
        <v>162</v>
      </c>
      <c r="B8" s="4"/>
      <c r="C8" s="17">
        <v>3376</v>
      </c>
      <c r="D8" s="17">
        <v>3167</v>
      </c>
      <c r="E8" s="16">
        <f>NWC!E7</f>
        <v>3112.5340958219176</v>
      </c>
      <c r="F8" s="16">
        <f>NWC!F7</f>
        <v>3091.2820207643831</v>
      </c>
      <c r="G8" s="16">
        <f>NWC!G7</f>
        <v>3138.7710389508484</v>
      </c>
      <c r="H8" s="16">
        <f>NWC!H7</f>
        <v>3159.86155903487</v>
      </c>
      <c r="I8" s="16">
        <f>NWC!I7</f>
        <v>3235.1015408705307</v>
      </c>
      <c r="J8" s="4"/>
    </row>
    <row r="9" spans="1:10" x14ac:dyDescent="0.25">
      <c r="A9" s="4" t="s">
        <v>163</v>
      </c>
      <c r="B9" s="4"/>
      <c r="C9" s="17">
        <v>215</v>
      </c>
      <c r="D9" s="17">
        <v>291</v>
      </c>
      <c r="E9" s="26">
        <f t="shared" ref="E9:I11" si="0">D9</f>
        <v>291</v>
      </c>
      <c r="F9" s="26">
        <f t="shared" si="0"/>
        <v>291</v>
      </c>
      <c r="G9" s="26">
        <f t="shared" si="0"/>
        <v>291</v>
      </c>
      <c r="H9" s="26">
        <f t="shared" si="0"/>
        <v>291</v>
      </c>
      <c r="I9" s="26">
        <f t="shared" si="0"/>
        <v>291</v>
      </c>
      <c r="J9" s="4"/>
    </row>
    <row r="10" spans="1:10" x14ac:dyDescent="0.25">
      <c r="A10" s="4" t="s">
        <v>164</v>
      </c>
      <c r="B10" s="4"/>
      <c r="C10" s="17">
        <v>0</v>
      </c>
      <c r="D10" s="17">
        <v>1060</v>
      </c>
      <c r="E10" s="26">
        <f t="shared" si="0"/>
        <v>1060</v>
      </c>
      <c r="F10" s="26">
        <f t="shared" si="0"/>
        <v>1060</v>
      </c>
      <c r="G10" s="26">
        <f t="shared" si="0"/>
        <v>1060</v>
      </c>
      <c r="H10" s="26">
        <f t="shared" si="0"/>
        <v>1060</v>
      </c>
      <c r="I10" s="26">
        <f t="shared" si="0"/>
        <v>1060</v>
      </c>
      <c r="J10" s="4"/>
    </row>
    <row r="11" spans="1:10" x14ac:dyDescent="0.25">
      <c r="A11" s="4" t="s">
        <v>165</v>
      </c>
      <c r="B11" s="4"/>
      <c r="C11" s="17">
        <v>583</v>
      </c>
      <c r="D11" s="17">
        <v>588</v>
      </c>
      <c r="E11" s="26">
        <f t="shared" si="0"/>
        <v>588</v>
      </c>
      <c r="F11" s="26">
        <f t="shared" si="0"/>
        <v>588</v>
      </c>
      <c r="G11" s="26">
        <f t="shared" si="0"/>
        <v>588</v>
      </c>
      <c r="H11" s="26">
        <f t="shared" si="0"/>
        <v>588</v>
      </c>
      <c r="I11" s="26">
        <f t="shared" si="0"/>
        <v>588</v>
      </c>
      <c r="J11" s="4"/>
    </row>
    <row r="12" spans="1:10" x14ac:dyDescent="0.25">
      <c r="A12" s="4" t="s">
        <v>166</v>
      </c>
      <c r="B12" s="4"/>
      <c r="C12" s="17">
        <v>0</v>
      </c>
      <c r="D12" s="17">
        <v>152</v>
      </c>
      <c r="E12" s="17">
        <v>0</v>
      </c>
      <c r="F12" s="26">
        <f>E12</f>
        <v>0</v>
      </c>
      <c r="G12" s="26">
        <f>F12</f>
        <v>0</v>
      </c>
      <c r="H12" s="26">
        <f>G12</f>
        <v>0</v>
      </c>
      <c r="I12" s="26">
        <f>H12</f>
        <v>0</v>
      </c>
      <c r="J12" s="4"/>
    </row>
    <row r="13" spans="1:10" x14ac:dyDescent="0.25">
      <c r="A13" s="3" t="s">
        <v>167</v>
      </c>
      <c r="B13" s="19">
        <f t="shared" ref="B13:I13" si="1">SUM(B6:B12)</f>
        <v>0</v>
      </c>
      <c r="C13" s="19">
        <f t="shared" si="1"/>
        <v>7655</v>
      </c>
      <c r="D13" s="19">
        <f t="shared" si="1"/>
        <v>10127</v>
      </c>
      <c r="E13" s="19">
        <f t="shared" si="1"/>
        <v>10531.968149229455</v>
      </c>
      <c r="F13" s="19">
        <f t="shared" si="1"/>
        <v>11043.003689439214</v>
      </c>
      <c r="G13" s="19">
        <f t="shared" si="1"/>
        <v>11698.367874671114</v>
      </c>
      <c r="H13" s="19">
        <f t="shared" si="1"/>
        <v>12498.152524392979</v>
      </c>
      <c r="I13" s="19">
        <f t="shared" si="1"/>
        <v>13473.931504631415</v>
      </c>
      <c r="J13" s="4"/>
    </row>
    <row r="14" spans="1:10" x14ac:dyDescent="0.25">
      <c r="A14" s="4" t="s">
        <v>168</v>
      </c>
      <c r="B14" s="4"/>
      <c r="C14" s="17">
        <v>7152</v>
      </c>
      <c r="D14" s="17">
        <v>7318</v>
      </c>
      <c r="E14" s="16">
        <f>CapEx_DA!E21</f>
        <v>7441.3624250000003</v>
      </c>
      <c r="F14" s="16">
        <f>CapEx_DA!F21</f>
        <v>7566.0272611249993</v>
      </c>
      <c r="G14" s="16">
        <f>CapEx_DA!G21</f>
        <v>7693.1049564874993</v>
      </c>
      <c r="H14" s="16">
        <f>CapEx_DA!H21</f>
        <v>7823.2892660757871</v>
      </c>
      <c r="I14" s="16">
        <f>CapEx_DA!I21</f>
        <v>7957.1420620439567</v>
      </c>
      <c r="J14" s="4"/>
    </row>
    <row r="15" spans="1:10" x14ac:dyDescent="0.25">
      <c r="A15" s="4" t="s">
        <v>169</v>
      </c>
      <c r="B15" s="4"/>
      <c r="C15" s="17">
        <v>28673</v>
      </c>
      <c r="D15" s="17">
        <v>22179</v>
      </c>
      <c r="E15" s="26">
        <f>D15</f>
        <v>22179</v>
      </c>
      <c r="F15" s="26">
        <f>E15</f>
        <v>22179</v>
      </c>
      <c r="G15" s="26">
        <f>F15</f>
        <v>22179</v>
      </c>
      <c r="H15" s="26">
        <f>G15</f>
        <v>22179</v>
      </c>
      <c r="I15" s="26">
        <f>H15</f>
        <v>22179</v>
      </c>
      <c r="J15" s="4"/>
    </row>
    <row r="16" spans="1:10" x14ac:dyDescent="0.25">
      <c r="A16" s="4" t="s">
        <v>170</v>
      </c>
      <c r="B16" s="4"/>
      <c r="C16" s="17">
        <v>40099</v>
      </c>
      <c r="D16" s="17">
        <v>37529</v>
      </c>
      <c r="E16" s="16">
        <f>CapEx_DA!E26</f>
        <v>37279</v>
      </c>
      <c r="F16" s="16">
        <f>CapEx_DA!F26</f>
        <v>37029</v>
      </c>
      <c r="G16" s="16">
        <f>CapEx_DA!G26</f>
        <v>36779</v>
      </c>
      <c r="H16" s="16">
        <f>CapEx_DA!H26</f>
        <v>36529</v>
      </c>
      <c r="I16" s="16">
        <f>CapEx_DA!I26</f>
        <v>36279</v>
      </c>
      <c r="J16" s="4"/>
    </row>
    <row r="17" spans="1:10" x14ac:dyDescent="0.25">
      <c r="A17" s="4" t="s">
        <v>171</v>
      </c>
      <c r="B17" s="4"/>
      <c r="C17" s="17">
        <v>4708</v>
      </c>
      <c r="D17" s="17">
        <v>4633</v>
      </c>
      <c r="E17" s="26">
        <f>D17</f>
        <v>4633</v>
      </c>
      <c r="F17" s="26">
        <f>E17</f>
        <v>4633</v>
      </c>
      <c r="G17" s="26">
        <f>F17</f>
        <v>4633</v>
      </c>
      <c r="H17" s="26">
        <f>G17</f>
        <v>4633</v>
      </c>
      <c r="I17" s="26">
        <f>H17</f>
        <v>4633</v>
      </c>
      <c r="J17" s="4"/>
    </row>
    <row r="18" spans="1:10" x14ac:dyDescent="0.25">
      <c r="A18" s="3" t="s">
        <v>172</v>
      </c>
      <c r="B18" s="28">
        <f t="shared" ref="B18:I18" si="2">B13+B14+B15+B16+B17</f>
        <v>0</v>
      </c>
      <c r="C18" s="28">
        <f t="shared" si="2"/>
        <v>88287</v>
      </c>
      <c r="D18" s="28">
        <f t="shared" si="2"/>
        <v>81786</v>
      </c>
      <c r="E18" s="28">
        <f t="shared" si="2"/>
        <v>82064.330574229447</v>
      </c>
      <c r="F18" s="28">
        <f t="shared" si="2"/>
        <v>82450.030950564222</v>
      </c>
      <c r="G18" s="28">
        <f t="shared" si="2"/>
        <v>82982.472831158608</v>
      </c>
      <c r="H18" s="28">
        <f t="shared" si="2"/>
        <v>83662.441790468758</v>
      </c>
      <c r="I18" s="28">
        <f t="shared" si="2"/>
        <v>84522.073566675375</v>
      </c>
      <c r="J18" s="4"/>
    </row>
    <row r="19" spans="1:10" x14ac:dyDescent="0.25">
      <c r="A19" s="4"/>
      <c r="B19" s="4"/>
      <c r="C19" s="4"/>
      <c r="D19" s="4"/>
      <c r="E19" s="4"/>
      <c r="F19" s="4"/>
      <c r="G19" s="4"/>
      <c r="H19" s="4"/>
      <c r="I19" s="4"/>
      <c r="J19" s="4"/>
    </row>
    <row r="20" spans="1:10" x14ac:dyDescent="0.25">
      <c r="A20" s="10" t="s">
        <v>173</v>
      </c>
      <c r="B20" s="11"/>
      <c r="C20" s="11"/>
      <c r="D20" s="11"/>
      <c r="E20" s="11"/>
      <c r="F20" s="11"/>
      <c r="G20" s="11"/>
      <c r="H20" s="11"/>
      <c r="I20" s="11"/>
      <c r="J20" s="4"/>
    </row>
    <row r="21" spans="1:10" x14ac:dyDescent="0.25">
      <c r="A21" s="4" t="s">
        <v>174</v>
      </c>
      <c r="B21" s="4"/>
      <c r="C21" s="17">
        <v>654</v>
      </c>
      <c r="D21" s="17">
        <v>1908</v>
      </c>
      <c r="E21" s="16">
        <f>Debt!E13</f>
        <v>1893</v>
      </c>
      <c r="F21" s="16">
        <f>Debt!F13</f>
        <v>1679</v>
      </c>
      <c r="G21" s="16">
        <f>Debt!G13</f>
        <v>1009</v>
      </c>
      <c r="H21" s="16">
        <f>Debt!H13</f>
        <v>915</v>
      </c>
      <c r="I21" s="16">
        <f>Debt!I13</f>
        <v>915</v>
      </c>
      <c r="J21" s="4"/>
    </row>
    <row r="22" spans="1:10" x14ac:dyDescent="0.25">
      <c r="A22" s="4" t="s">
        <v>175</v>
      </c>
      <c r="B22" s="4"/>
      <c r="C22" s="17">
        <v>4188</v>
      </c>
      <c r="D22" s="17">
        <v>4308</v>
      </c>
      <c r="E22" s="16">
        <f>NWC!E8</f>
        <v>4285.3730304794517</v>
      </c>
      <c r="F22" s="16">
        <f>NWC!F8</f>
        <v>4318.7028231267113</v>
      </c>
      <c r="G22" s="16">
        <f>NWC!G8</f>
        <v>4385.0477750048613</v>
      </c>
      <c r="H22" s="16">
        <f>NWC!H8</f>
        <v>4480.400718034517</v>
      </c>
      <c r="I22" s="16">
        <f>NWC!I8</f>
        <v>4587.0842743686626</v>
      </c>
      <c r="J22" s="4"/>
    </row>
    <row r="23" spans="1:10" x14ac:dyDescent="0.25">
      <c r="A23" s="4" t="s">
        <v>176</v>
      </c>
      <c r="B23" s="4"/>
      <c r="C23" s="17">
        <v>697</v>
      </c>
      <c r="D23" s="17">
        <v>801</v>
      </c>
      <c r="E23" s="26">
        <f t="shared" ref="E23:I25" si="3">D23</f>
        <v>801</v>
      </c>
      <c r="F23" s="26">
        <f t="shared" si="3"/>
        <v>801</v>
      </c>
      <c r="G23" s="26">
        <f t="shared" si="3"/>
        <v>801</v>
      </c>
      <c r="H23" s="26">
        <f t="shared" si="3"/>
        <v>801</v>
      </c>
      <c r="I23" s="26">
        <f t="shared" si="3"/>
        <v>801</v>
      </c>
      <c r="J23" s="4"/>
    </row>
    <row r="24" spans="1:10" x14ac:dyDescent="0.25">
      <c r="A24" s="4" t="s">
        <v>177</v>
      </c>
      <c r="B24" s="4"/>
      <c r="C24" s="17">
        <v>263</v>
      </c>
      <c r="D24" s="17">
        <v>298</v>
      </c>
      <c r="E24" s="26">
        <f t="shared" si="3"/>
        <v>298</v>
      </c>
      <c r="F24" s="26">
        <f t="shared" si="3"/>
        <v>298</v>
      </c>
      <c r="G24" s="26">
        <f t="shared" si="3"/>
        <v>298</v>
      </c>
      <c r="H24" s="26">
        <f t="shared" si="3"/>
        <v>298</v>
      </c>
      <c r="I24" s="26">
        <f t="shared" si="3"/>
        <v>298</v>
      </c>
      <c r="J24" s="4"/>
    </row>
    <row r="25" spans="1:10" x14ac:dyDescent="0.25">
      <c r="A25" s="4" t="s">
        <v>178</v>
      </c>
      <c r="B25" s="4"/>
      <c r="C25" s="17">
        <v>1451</v>
      </c>
      <c r="D25" s="17">
        <v>1455</v>
      </c>
      <c r="E25" s="26">
        <f t="shared" si="3"/>
        <v>1455</v>
      </c>
      <c r="F25" s="26">
        <f t="shared" si="3"/>
        <v>1455</v>
      </c>
      <c r="G25" s="26">
        <f t="shared" si="3"/>
        <v>1455</v>
      </c>
      <c r="H25" s="26">
        <f t="shared" si="3"/>
        <v>1455</v>
      </c>
      <c r="I25" s="26">
        <f t="shared" si="3"/>
        <v>1455</v>
      </c>
      <c r="J25" s="4"/>
    </row>
    <row r="26" spans="1:10" x14ac:dyDescent="0.25">
      <c r="A26" s="4" t="s">
        <v>179</v>
      </c>
      <c r="B26" s="4"/>
      <c r="C26" s="17">
        <v>0</v>
      </c>
      <c r="D26" s="17">
        <v>8</v>
      </c>
      <c r="E26" s="17">
        <v>0</v>
      </c>
      <c r="F26" s="26">
        <f>E26</f>
        <v>0</v>
      </c>
      <c r="G26" s="26">
        <f>F26</f>
        <v>0</v>
      </c>
      <c r="H26" s="26">
        <f>G26</f>
        <v>0</v>
      </c>
      <c r="I26" s="26">
        <f>H26</f>
        <v>0</v>
      </c>
      <c r="J26" s="4"/>
    </row>
    <row r="27" spans="1:10" x14ac:dyDescent="0.25">
      <c r="A27" s="3" t="s">
        <v>180</v>
      </c>
      <c r="B27" s="19">
        <f t="shared" ref="B27:I27" si="4">SUM(B21:B26)</f>
        <v>0</v>
      </c>
      <c r="C27" s="19">
        <f t="shared" si="4"/>
        <v>7253</v>
      </c>
      <c r="D27" s="19">
        <f t="shared" si="4"/>
        <v>8778</v>
      </c>
      <c r="E27" s="19">
        <f t="shared" si="4"/>
        <v>8732.3730304794517</v>
      </c>
      <c r="F27" s="19">
        <f t="shared" si="4"/>
        <v>8551.7028231267104</v>
      </c>
      <c r="G27" s="19">
        <f t="shared" si="4"/>
        <v>7948.0477750048613</v>
      </c>
      <c r="H27" s="19">
        <f t="shared" si="4"/>
        <v>7949.400718034517</v>
      </c>
      <c r="I27" s="19">
        <f t="shared" si="4"/>
        <v>8056.0842743686626</v>
      </c>
      <c r="J27" s="4"/>
    </row>
    <row r="28" spans="1:10" x14ac:dyDescent="0.25">
      <c r="A28" s="4" t="s">
        <v>181</v>
      </c>
      <c r="B28" s="4"/>
      <c r="C28" s="17">
        <v>19215</v>
      </c>
      <c r="D28" s="17">
        <v>19311</v>
      </c>
      <c r="E28" s="16">
        <f>Debt!E14</f>
        <v>19326</v>
      </c>
      <c r="F28" s="16">
        <f>Debt!F14</f>
        <v>19540</v>
      </c>
      <c r="G28" s="16">
        <f>Debt!G14</f>
        <v>20210</v>
      </c>
      <c r="H28" s="16">
        <f>Debt!H14</f>
        <v>20304</v>
      </c>
      <c r="I28" s="16">
        <f>Debt!I14</f>
        <v>20304</v>
      </c>
      <c r="J28" s="4"/>
    </row>
    <row r="29" spans="1:10" x14ac:dyDescent="0.25">
      <c r="A29" s="4" t="s">
        <v>182</v>
      </c>
      <c r="B29" s="4"/>
      <c r="C29" s="17">
        <v>9679</v>
      </c>
      <c r="D29" s="17">
        <v>9022</v>
      </c>
      <c r="E29" s="26">
        <f t="shared" ref="E29:I32" si="5">D29</f>
        <v>9022</v>
      </c>
      <c r="F29" s="26">
        <f t="shared" si="5"/>
        <v>9022</v>
      </c>
      <c r="G29" s="26">
        <f t="shared" si="5"/>
        <v>9022</v>
      </c>
      <c r="H29" s="26">
        <f t="shared" si="5"/>
        <v>9022</v>
      </c>
      <c r="I29" s="26">
        <f t="shared" si="5"/>
        <v>9022</v>
      </c>
      <c r="J29" s="4"/>
    </row>
    <row r="30" spans="1:10" x14ac:dyDescent="0.25">
      <c r="A30" s="4" t="s">
        <v>183</v>
      </c>
      <c r="B30" s="4"/>
      <c r="C30" s="17">
        <v>135</v>
      </c>
      <c r="D30" s="17">
        <v>131</v>
      </c>
      <c r="E30" s="26">
        <f t="shared" si="5"/>
        <v>131</v>
      </c>
      <c r="F30" s="26">
        <f t="shared" si="5"/>
        <v>131</v>
      </c>
      <c r="G30" s="26">
        <f t="shared" si="5"/>
        <v>131</v>
      </c>
      <c r="H30" s="26">
        <f t="shared" si="5"/>
        <v>131</v>
      </c>
      <c r="I30" s="26">
        <f t="shared" si="5"/>
        <v>131</v>
      </c>
      <c r="J30" s="4"/>
    </row>
    <row r="31" spans="1:10" x14ac:dyDescent="0.25">
      <c r="A31" s="4" t="s">
        <v>184</v>
      </c>
      <c r="B31" s="4"/>
      <c r="C31" s="17">
        <v>1374</v>
      </c>
      <c r="D31" s="17">
        <v>1321</v>
      </c>
      <c r="E31" s="26">
        <f t="shared" si="5"/>
        <v>1321</v>
      </c>
      <c r="F31" s="26">
        <f t="shared" si="5"/>
        <v>1321</v>
      </c>
      <c r="G31" s="26">
        <f t="shared" si="5"/>
        <v>1321</v>
      </c>
      <c r="H31" s="26">
        <f t="shared" si="5"/>
        <v>1321</v>
      </c>
      <c r="I31" s="26">
        <f t="shared" si="5"/>
        <v>1321</v>
      </c>
      <c r="J31" s="4"/>
    </row>
    <row r="32" spans="1:10" x14ac:dyDescent="0.25">
      <c r="A32" s="4" t="s">
        <v>185</v>
      </c>
      <c r="B32" s="4"/>
      <c r="C32" s="17">
        <v>1306</v>
      </c>
      <c r="D32" s="17">
        <v>1434</v>
      </c>
      <c r="E32" s="26">
        <f t="shared" si="5"/>
        <v>1434</v>
      </c>
      <c r="F32" s="26">
        <f t="shared" si="5"/>
        <v>1434</v>
      </c>
      <c r="G32" s="26">
        <f t="shared" si="5"/>
        <v>1434</v>
      </c>
      <c r="H32" s="26">
        <f t="shared" si="5"/>
        <v>1434</v>
      </c>
      <c r="I32" s="26">
        <f t="shared" si="5"/>
        <v>1434</v>
      </c>
      <c r="J32" s="4"/>
    </row>
    <row r="33" spans="1:10" x14ac:dyDescent="0.25">
      <c r="A33" s="3" t="s">
        <v>186</v>
      </c>
      <c r="B33" s="19">
        <f t="shared" ref="B33:I33" si="6">B27+B28+B29+B30+B31+B32</f>
        <v>0</v>
      </c>
      <c r="C33" s="19">
        <f t="shared" si="6"/>
        <v>38962</v>
      </c>
      <c r="D33" s="19">
        <f t="shared" si="6"/>
        <v>39997</v>
      </c>
      <c r="E33" s="19">
        <f t="shared" si="6"/>
        <v>39966.373030479452</v>
      </c>
      <c r="F33" s="19">
        <f t="shared" si="6"/>
        <v>39999.70282312671</v>
      </c>
      <c r="G33" s="19">
        <f t="shared" si="6"/>
        <v>40066.047775004859</v>
      </c>
      <c r="H33" s="19">
        <f t="shared" si="6"/>
        <v>40161.400718034522</v>
      </c>
      <c r="I33" s="19">
        <f t="shared" si="6"/>
        <v>40268.084274368666</v>
      </c>
      <c r="J33" s="4"/>
    </row>
    <row r="34" spans="1:10" x14ac:dyDescent="0.25">
      <c r="A34" s="4"/>
      <c r="B34" s="4"/>
      <c r="C34" s="4"/>
      <c r="D34" s="4"/>
      <c r="E34" s="4"/>
      <c r="F34" s="4"/>
      <c r="G34" s="4"/>
      <c r="H34" s="4"/>
      <c r="I34" s="4"/>
      <c r="J34" s="4"/>
    </row>
    <row r="35" spans="1:10" x14ac:dyDescent="0.25">
      <c r="A35" s="10" t="s">
        <v>187</v>
      </c>
      <c r="B35" s="11"/>
      <c r="C35" s="11"/>
      <c r="D35" s="11"/>
      <c r="E35" s="11"/>
      <c r="F35" s="11"/>
      <c r="G35" s="11"/>
      <c r="H35" s="11"/>
      <c r="I35" s="11"/>
      <c r="J35" s="4"/>
    </row>
    <row r="36" spans="1:10" x14ac:dyDescent="0.25">
      <c r="A36" s="4" t="s">
        <v>188</v>
      </c>
      <c r="B36" s="4"/>
      <c r="C36" s="17">
        <v>6</v>
      </c>
      <c r="D36" s="17">
        <v>12</v>
      </c>
      <c r="E36" s="26">
        <f t="shared" ref="E36:I38" si="7">D36</f>
        <v>12</v>
      </c>
      <c r="F36" s="26">
        <f t="shared" si="7"/>
        <v>12</v>
      </c>
      <c r="G36" s="26">
        <f t="shared" si="7"/>
        <v>12</v>
      </c>
      <c r="H36" s="26">
        <f t="shared" si="7"/>
        <v>12</v>
      </c>
      <c r="I36" s="26">
        <f t="shared" si="7"/>
        <v>12</v>
      </c>
      <c r="J36" s="4"/>
    </row>
    <row r="37" spans="1:10" x14ac:dyDescent="0.25">
      <c r="A37" s="4" t="s">
        <v>189</v>
      </c>
      <c r="B37" s="4"/>
      <c r="C37" s="17">
        <v>12</v>
      </c>
      <c r="D37" s="17">
        <v>12</v>
      </c>
      <c r="E37" s="26">
        <f t="shared" si="7"/>
        <v>12</v>
      </c>
      <c r="F37" s="26">
        <f t="shared" si="7"/>
        <v>12</v>
      </c>
      <c r="G37" s="26">
        <f t="shared" si="7"/>
        <v>12</v>
      </c>
      <c r="H37" s="26">
        <f t="shared" si="7"/>
        <v>12</v>
      </c>
      <c r="I37" s="26">
        <f t="shared" si="7"/>
        <v>12</v>
      </c>
      <c r="J37" s="4"/>
    </row>
    <row r="38" spans="1:10" x14ac:dyDescent="0.25">
      <c r="A38" s="4" t="s">
        <v>190</v>
      </c>
      <c r="B38" s="4"/>
      <c r="C38" s="17">
        <v>52135</v>
      </c>
      <c r="D38" s="17">
        <v>51287</v>
      </c>
      <c r="E38" s="26">
        <f t="shared" si="7"/>
        <v>51287</v>
      </c>
      <c r="F38" s="26">
        <f t="shared" si="7"/>
        <v>51287</v>
      </c>
      <c r="G38" s="26">
        <f t="shared" si="7"/>
        <v>51287</v>
      </c>
      <c r="H38" s="26">
        <f t="shared" si="7"/>
        <v>51287</v>
      </c>
      <c r="I38" s="26">
        <f t="shared" si="7"/>
        <v>51287</v>
      </c>
      <c r="J38" s="4"/>
    </row>
    <row r="39" spans="1:10" x14ac:dyDescent="0.25">
      <c r="A39" s="4" t="s">
        <v>191</v>
      </c>
      <c r="B39" s="4"/>
      <c r="C39" s="17">
        <v>2171</v>
      </c>
      <c r="D39" s="17">
        <v>-4629</v>
      </c>
      <c r="E39" s="16">
        <f>D39+IS!E18-(Assumptions!E36*Assumptions!E37)</f>
        <v>-3820.0424562499979</v>
      </c>
      <c r="F39" s="16">
        <f>E39+IS!F18-(Assumptions!F36*Assumptions!F37)</f>
        <v>-2967.6718725624983</v>
      </c>
      <c r="G39" s="16">
        <f>F39+IS!G18-(Assumptions!G36*Assumptions!G37)</f>
        <v>-2001.5749438462476</v>
      </c>
      <c r="H39" s="16">
        <f>G39+IS!H18-(Assumptions!H36*Assumptions!H37)</f>
        <v>-916.95892756575131</v>
      </c>
      <c r="I39" s="16">
        <f>H39+IS!I18-(Assumptions!I36*Assumptions!I37)</f>
        <v>335.98929230670728</v>
      </c>
      <c r="J39" s="4"/>
    </row>
    <row r="40" spans="1:10" x14ac:dyDescent="0.25">
      <c r="A40" s="4" t="s">
        <v>192</v>
      </c>
      <c r="B40" s="4"/>
      <c r="C40" s="17">
        <v>-2915</v>
      </c>
      <c r="D40" s="17">
        <v>-2370</v>
      </c>
      <c r="E40" s="26">
        <f>D40</f>
        <v>-2370</v>
      </c>
      <c r="F40" s="26">
        <f>E40</f>
        <v>-2370</v>
      </c>
      <c r="G40" s="26">
        <f>F40</f>
        <v>-2370</v>
      </c>
      <c r="H40" s="26">
        <f>G40</f>
        <v>-2370</v>
      </c>
      <c r="I40" s="26">
        <f>H40</f>
        <v>-2370</v>
      </c>
      <c r="J40" s="4"/>
    </row>
    <row r="41" spans="1:10" x14ac:dyDescent="0.25">
      <c r="A41" s="4" t="s">
        <v>193</v>
      </c>
      <c r="B41" s="4"/>
      <c r="C41" s="17">
        <v>-2218</v>
      </c>
      <c r="D41" s="17">
        <v>-2636</v>
      </c>
      <c r="E41" s="16">
        <f>D41-Assumptions!E38</f>
        <v>-3136</v>
      </c>
      <c r="F41" s="16">
        <f>E41-Assumptions!F38</f>
        <v>-3636</v>
      </c>
      <c r="G41" s="16">
        <f>F41-Assumptions!G38</f>
        <v>-4136</v>
      </c>
      <c r="H41" s="16">
        <f>G41-Assumptions!H38</f>
        <v>-4636</v>
      </c>
      <c r="I41" s="16">
        <f>H41-Assumptions!I38</f>
        <v>-5136</v>
      </c>
      <c r="J41" s="4"/>
    </row>
    <row r="42" spans="1:10" x14ac:dyDescent="0.25">
      <c r="A42" s="4" t="s">
        <v>194</v>
      </c>
      <c r="B42" s="4"/>
      <c r="C42" s="17">
        <v>134</v>
      </c>
      <c r="D42" s="17">
        <v>113</v>
      </c>
      <c r="E42" s="26">
        <f>D42</f>
        <v>113</v>
      </c>
      <c r="F42" s="26">
        <f>E42</f>
        <v>113</v>
      </c>
      <c r="G42" s="26">
        <f>F42</f>
        <v>113</v>
      </c>
      <c r="H42" s="26">
        <f>G42</f>
        <v>113</v>
      </c>
      <c r="I42" s="26">
        <f>H42</f>
        <v>113</v>
      </c>
      <c r="J42" s="4"/>
    </row>
    <row r="43" spans="1:10" x14ac:dyDescent="0.25">
      <c r="A43" s="3" t="s">
        <v>195</v>
      </c>
      <c r="B43" s="19">
        <f t="shared" ref="B43:I43" si="8">SUM(B36:B42)</f>
        <v>0</v>
      </c>
      <c r="C43" s="19">
        <f t="shared" si="8"/>
        <v>49325</v>
      </c>
      <c r="D43" s="19">
        <f t="shared" si="8"/>
        <v>41789</v>
      </c>
      <c r="E43" s="19">
        <f t="shared" si="8"/>
        <v>42097.957543750003</v>
      </c>
      <c r="F43" s="19">
        <f t="shared" si="8"/>
        <v>42450.328127437504</v>
      </c>
      <c r="G43" s="19">
        <f t="shared" si="8"/>
        <v>42916.425056153756</v>
      </c>
      <c r="H43" s="19">
        <f t="shared" si="8"/>
        <v>43501.041072434251</v>
      </c>
      <c r="I43" s="19">
        <f t="shared" si="8"/>
        <v>44253.989292306709</v>
      </c>
      <c r="J43" s="4"/>
    </row>
    <row r="44" spans="1:10" x14ac:dyDescent="0.25">
      <c r="A44" s="3" t="s">
        <v>196</v>
      </c>
      <c r="B44" s="28">
        <f t="shared" ref="B44:I44" si="9">B33+B43</f>
        <v>0</v>
      </c>
      <c r="C44" s="28">
        <f t="shared" si="9"/>
        <v>88287</v>
      </c>
      <c r="D44" s="28">
        <f t="shared" si="9"/>
        <v>81786</v>
      </c>
      <c r="E44" s="28">
        <f t="shared" si="9"/>
        <v>82064.330574229447</v>
      </c>
      <c r="F44" s="28">
        <f t="shared" si="9"/>
        <v>82450.030950564222</v>
      </c>
      <c r="G44" s="28">
        <f t="shared" si="9"/>
        <v>82982.472831158608</v>
      </c>
      <c r="H44" s="28">
        <f t="shared" si="9"/>
        <v>83662.441790468773</v>
      </c>
      <c r="I44" s="28">
        <f t="shared" si="9"/>
        <v>84522.073566675375</v>
      </c>
      <c r="J44" s="4"/>
    </row>
    <row r="45" spans="1:10" x14ac:dyDescent="0.25">
      <c r="A45" s="4"/>
      <c r="B45" s="4"/>
      <c r="C45" s="4"/>
      <c r="D45" s="4"/>
      <c r="E45" s="4"/>
      <c r="F45" s="4"/>
      <c r="G45" s="4"/>
      <c r="H45" s="4"/>
      <c r="I45" s="4"/>
      <c r="J45" s="4"/>
    </row>
    <row r="46" spans="1:10" x14ac:dyDescent="0.25">
      <c r="A46" s="25" t="s">
        <v>197</v>
      </c>
      <c r="B46" s="30">
        <f t="shared" ref="B46:I46" si="10">B18-B44</f>
        <v>0</v>
      </c>
      <c r="C46" s="30">
        <f t="shared" si="10"/>
        <v>0</v>
      </c>
      <c r="D46" s="30">
        <f t="shared" si="10"/>
        <v>0</v>
      </c>
      <c r="E46" s="30">
        <f t="shared" si="10"/>
        <v>0</v>
      </c>
      <c r="F46" s="30">
        <f t="shared" si="10"/>
        <v>0</v>
      </c>
      <c r="G46" s="30">
        <f t="shared" si="10"/>
        <v>0</v>
      </c>
      <c r="H46" s="30">
        <f t="shared" si="10"/>
        <v>0</v>
      </c>
      <c r="I46" s="30">
        <f t="shared" si="10"/>
        <v>0</v>
      </c>
      <c r="J46" s="4"/>
    </row>
    <row r="47" spans="1:10" x14ac:dyDescent="0.25">
      <c r="A47" s="4"/>
      <c r="B47" s="4"/>
      <c r="C47" s="4"/>
      <c r="D47" s="4"/>
      <c r="E47" s="4"/>
      <c r="F47" s="4"/>
      <c r="G47" s="4"/>
      <c r="H47" s="4"/>
      <c r="I47" s="4"/>
      <c r="J47" s="4"/>
    </row>
    <row r="48" spans="1:10" x14ac:dyDescent="0.25">
      <c r="A48" s="4"/>
      <c r="B48" s="4"/>
      <c r="C48" s="4"/>
      <c r="D48" s="4"/>
      <c r="E48" s="4"/>
      <c r="F48" s="4"/>
      <c r="G48" s="4"/>
      <c r="H48" s="4"/>
      <c r="I48" s="4"/>
      <c r="J48" s="4"/>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31"/>
  <sheetViews>
    <sheetView showGridLines="0" zoomScaleNormal="100" workbookViewId="0">
      <pane xSplit="1" ySplit="3" topLeftCell="B4" activePane="bottomRight" state="frozen"/>
      <selection pane="topRight" activeCell="B1" sqref="B1"/>
      <selection pane="bottomLeft" activeCell="A4" sqref="A4"/>
      <selection pane="bottomRight" activeCell="D33" sqref="D33"/>
    </sheetView>
  </sheetViews>
  <sheetFormatPr baseColWidth="10" defaultColWidth="8.7109375" defaultRowHeight="15" x14ac:dyDescent="0.25"/>
  <cols>
    <col min="1" max="1" width="46" customWidth="1"/>
    <col min="2" max="9" width="11" customWidth="1"/>
  </cols>
  <sheetData>
    <row r="1" spans="1:10" ht="15.75" x14ac:dyDescent="0.25">
      <c r="A1" s="7" t="s">
        <v>198</v>
      </c>
      <c r="B1" s="4"/>
      <c r="C1" s="4"/>
      <c r="D1" s="4"/>
      <c r="E1" s="4"/>
      <c r="F1" s="4"/>
      <c r="G1" s="4"/>
      <c r="H1" s="4"/>
      <c r="I1" s="4"/>
      <c r="J1" s="4"/>
    </row>
    <row r="2" spans="1:10" x14ac:dyDescent="0.25">
      <c r="A2" s="4"/>
      <c r="B2" s="4"/>
      <c r="C2" s="4"/>
      <c r="D2" s="4"/>
      <c r="E2" s="4"/>
      <c r="F2" s="4"/>
      <c r="G2" s="4"/>
      <c r="H2" s="4"/>
      <c r="I2" s="4"/>
      <c r="J2" s="4"/>
    </row>
    <row r="3" spans="1:10" x14ac:dyDescent="0.25">
      <c r="A3" s="8" t="s">
        <v>40</v>
      </c>
      <c r="B3" s="9" t="s">
        <v>41</v>
      </c>
      <c r="C3" s="9" t="s">
        <v>42</v>
      </c>
      <c r="D3" s="9" t="s">
        <v>43</v>
      </c>
      <c r="E3" s="9" t="s">
        <v>44</v>
      </c>
      <c r="F3" s="9" t="s">
        <v>45</v>
      </c>
      <c r="G3" s="9" t="s">
        <v>46</v>
      </c>
      <c r="H3" s="9" t="s">
        <v>47</v>
      </c>
      <c r="I3" s="9" t="s">
        <v>48</v>
      </c>
      <c r="J3" s="4"/>
    </row>
    <row r="4" spans="1:10" x14ac:dyDescent="0.25">
      <c r="A4" s="4"/>
      <c r="B4" s="4"/>
      <c r="C4" s="4"/>
      <c r="D4" s="4"/>
      <c r="E4" s="4"/>
      <c r="F4" s="4"/>
      <c r="G4" s="4"/>
      <c r="H4" s="4"/>
      <c r="I4" s="4"/>
      <c r="J4" s="4"/>
    </row>
    <row r="5" spans="1:10" x14ac:dyDescent="0.25">
      <c r="A5" s="10" t="s">
        <v>199</v>
      </c>
      <c r="B5" s="11"/>
      <c r="C5" s="11"/>
      <c r="D5" s="11"/>
      <c r="E5" s="11"/>
      <c r="F5" s="11"/>
      <c r="G5" s="11"/>
      <c r="H5" s="11"/>
      <c r="I5" s="11"/>
      <c r="J5" s="4"/>
    </row>
    <row r="6" spans="1:10" x14ac:dyDescent="0.25">
      <c r="A6" s="4" t="s">
        <v>152</v>
      </c>
      <c r="B6" s="17">
        <v>2846</v>
      </c>
      <c r="C6" s="17">
        <v>2746</v>
      </c>
      <c r="D6" s="17">
        <v>-5848</v>
      </c>
      <c r="E6" s="16">
        <f>IS!E18</f>
        <v>2703.3575437500022</v>
      </c>
      <c r="F6" s="16">
        <f>IS!F18</f>
        <v>2746.7705836874998</v>
      </c>
      <c r="G6" s="16">
        <f>IS!G18</f>
        <v>2860.4969287162507</v>
      </c>
      <c r="H6" s="16">
        <f>IS!H18</f>
        <v>2979.0160162804964</v>
      </c>
      <c r="I6" s="16">
        <f>IS!I18</f>
        <v>3147.3482198724587</v>
      </c>
      <c r="J6" s="4"/>
    </row>
    <row r="7" spans="1:10" x14ac:dyDescent="0.25">
      <c r="A7" s="4" t="s">
        <v>200</v>
      </c>
      <c r="B7" s="17">
        <v>961</v>
      </c>
      <c r="C7" s="17">
        <v>948</v>
      </c>
      <c r="D7" s="17">
        <v>968</v>
      </c>
      <c r="E7" s="16">
        <f>CapEx_DA!E15</f>
        <v>965.50206500000002</v>
      </c>
      <c r="F7" s="16">
        <f>CapEx_DA!F15</f>
        <v>973.05604952499993</v>
      </c>
      <c r="G7" s="16">
        <f>CapEx_DA!G15</f>
        <v>961.63509402999989</v>
      </c>
      <c r="H7" s="16">
        <f>CapEx_DA!H15</f>
        <v>979.03213369440971</v>
      </c>
      <c r="I7" s="16">
        <f>CapEx_DA!I15</f>
        <v>972.80509822811609</v>
      </c>
      <c r="J7" s="4"/>
    </row>
    <row r="8" spans="1:10" x14ac:dyDescent="0.25">
      <c r="A8" s="4" t="s">
        <v>201</v>
      </c>
      <c r="B8" s="17">
        <v>18</v>
      </c>
      <c r="C8" s="17">
        <v>-139</v>
      </c>
      <c r="D8" s="17">
        <v>-55</v>
      </c>
      <c r="E8" s="16">
        <f>NWC!E16</f>
        <v>23.336972602739934</v>
      </c>
      <c r="F8" s="16">
        <f>NWC!F16</f>
        <v>-23.550447739726224</v>
      </c>
      <c r="G8" s="16">
        <f>NWC!G16</f>
        <v>-43.629783472602412</v>
      </c>
      <c r="H8" s="16">
        <f>NWC!H16</f>
        <v>-56.174394219718579</v>
      </c>
      <c r="I8" s="16">
        <f>NWC!I16</f>
        <v>-66.334274266363082</v>
      </c>
      <c r="J8" s="4"/>
    </row>
    <row r="9" spans="1:10" x14ac:dyDescent="0.25">
      <c r="A9" s="4" t="s">
        <v>202</v>
      </c>
      <c r="B9" s="17">
        <v>-106</v>
      </c>
      <c r="C9" s="17">
        <v>-6</v>
      </c>
      <c r="D9" s="17">
        <v>133</v>
      </c>
      <c r="E9" s="16">
        <f>NWC!E17</f>
        <v>54.465904178082383</v>
      </c>
      <c r="F9" s="16">
        <f>NWC!F17</f>
        <v>21.252075057534512</v>
      </c>
      <c r="G9" s="16">
        <f>NWC!G17</f>
        <v>-47.489018186465273</v>
      </c>
      <c r="H9" s="16">
        <f>NWC!H17</f>
        <v>-21.090520084021591</v>
      </c>
      <c r="I9" s="16">
        <f>NWC!I17</f>
        <v>-75.239981835660728</v>
      </c>
      <c r="J9" s="4"/>
    </row>
    <row r="10" spans="1:10" x14ac:dyDescent="0.25">
      <c r="A10" s="4" t="s">
        <v>203</v>
      </c>
      <c r="B10" s="17">
        <v>-295</v>
      </c>
      <c r="C10" s="17">
        <v>-308</v>
      </c>
      <c r="D10" s="17">
        <v>-97</v>
      </c>
      <c r="E10" s="16">
        <f>NWC!E18</f>
        <v>-22.6269695205483</v>
      </c>
      <c r="F10" s="16">
        <f>NWC!F18</f>
        <v>33.329792647259637</v>
      </c>
      <c r="G10" s="16">
        <f>NWC!G18</f>
        <v>66.344951878149914</v>
      </c>
      <c r="H10" s="16">
        <f>NWC!H18</f>
        <v>95.352943029655762</v>
      </c>
      <c r="I10" s="16">
        <f>NWC!I18</f>
        <v>106.68355633414558</v>
      </c>
      <c r="J10" s="4"/>
    </row>
    <row r="11" spans="1:10" x14ac:dyDescent="0.25">
      <c r="A11" s="4" t="s">
        <v>204</v>
      </c>
      <c r="B11" s="17">
        <v>552</v>
      </c>
      <c r="C11" s="17">
        <v>943</v>
      </c>
      <c r="D11" s="17">
        <v>9361</v>
      </c>
      <c r="E11" s="17">
        <v>0</v>
      </c>
      <c r="F11" s="17">
        <v>0</v>
      </c>
      <c r="G11" s="17">
        <v>0</v>
      </c>
      <c r="H11" s="17">
        <v>0</v>
      </c>
      <c r="I11" s="17">
        <v>0</v>
      </c>
      <c r="J11" s="4"/>
    </row>
    <row r="12" spans="1:10" x14ac:dyDescent="0.25">
      <c r="A12" s="3" t="s">
        <v>205</v>
      </c>
      <c r="B12" s="19">
        <f t="shared" ref="B12:I12" si="0">SUM(B6:B11)</f>
        <v>3976</v>
      </c>
      <c r="C12" s="19">
        <f t="shared" si="0"/>
        <v>4184</v>
      </c>
      <c r="D12" s="19">
        <f t="shared" si="0"/>
        <v>4462</v>
      </c>
      <c r="E12" s="19">
        <f t="shared" si="0"/>
        <v>3724.0355160102763</v>
      </c>
      <c r="F12" s="19">
        <f t="shared" si="0"/>
        <v>3750.8580531775674</v>
      </c>
      <c r="G12" s="19">
        <f t="shared" si="0"/>
        <v>3797.3581729653329</v>
      </c>
      <c r="H12" s="19">
        <f t="shared" si="0"/>
        <v>3976.1361787008218</v>
      </c>
      <c r="I12" s="19">
        <f t="shared" si="0"/>
        <v>4085.2626183326961</v>
      </c>
      <c r="J12" s="4"/>
    </row>
    <row r="13" spans="1:10" x14ac:dyDescent="0.25">
      <c r="A13" s="4"/>
      <c r="B13" s="4"/>
      <c r="C13" s="4"/>
      <c r="D13" s="4"/>
      <c r="E13" s="4"/>
      <c r="F13" s="4"/>
      <c r="G13" s="4"/>
      <c r="H13" s="4"/>
      <c r="I13" s="4"/>
      <c r="J13" s="4"/>
    </row>
    <row r="14" spans="1:10" x14ac:dyDescent="0.25">
      <c r="A14" s="10" t="s">
        <v>206</v>
      </c>
      <c r="B14" s="11"/>
      <c r="C14" s="11"/>
      <c r="D14" s="11"/>
      <c r="E14" s="11"/>
      <c r="F14" s="11"/>
      <c r="G14" s="11"/>
      <c r="H14" s="11"/>
      <c r="I14" s="11"/>
      <c r="J14" s="4"/>
    </row>
    <row r="15" spans="1:10" x14ac:dyDescent="0.25">
      <c r="A15" s="4" t="s">
        <v>207</v>
      </c>
      <c r="B15" s="17">
        <v>-1013</v>
      </c>
      <c r="C15" s="17">
        <v>-1024</v>
      </c>
      <c r="D15" s="17">
        <v>-801</v>
      </c>
      <c r="E15" s="16">
        <f>-CapEx_DA!E10</f>
        <v>-838.86449000000005</v>
      </c>
      <c r="F15" s="16">
        <f>-CapEx_DA!F10</f>
        <v>-847.7208856499999</v>
      </c>
      <c r="G15" s="16">
        <f>-CapEx_DA!G10</f>
        <v>-838.71278939249987</v>
      </c>
      <c r="H15" s="16">
        <f>-CapEx_DA!H10</f>
        <v>-859.21644328269724</v>
      </c>
      <c r="I15" s="16">
        <f>-CapEx_DA!I10</f>
        <v>-856.65789419628572</v>
      </c>
      <c r="J15" s="4"/>
    </row>
    <row r="16" spans="1:10" x14ac:dyDescent="0.25">
      <c r="A16" s="4" t="s">
        <v>208</v>
      </c>
      <c r="B16" s="17">
        <v>97</v>
      </c>
      <c r="C16" s="17">
        <v>1</v>
      </c>
      <c r="D16" s="17">
        <v>-1032</v>
      </c>
      <c r="E16" s="17">
        <v>144</v>
      </c>
      <c r="F16" s="17">
        <v>0</v>
      </c>
      <c r="G16" s="17">
        <v>0</v>
      </c>
      <c r="H16" s="17">
        <v>0</v>
      </c>
      <c r="I16" s="17">
        <v>0</v>
      </c>
      <c r="J16" s="4"/>
    </row>
    <row r="17" spans="1:10" x14ac:dyDescent="0.25">
      <c r="A17" s="3" t="s">
        <v>209</v>
      </c>
      <c r="B17" s="19">
        <f t="shared" ref="B17:I17" si="1">SUM(B15:B16)</f>
        <v>-916</v>
      </c>
      <c r="C17" s="19">
        <f t="shared" si="1"/>
        <v>-1023</v>
      </c>
      <c r="D17" s="19">
        <f t="shared" si="1"/>
        <v>-1833</v>
      </c>
      <c r="E17" s="19">
        <f t="shared" si="1"/>
        <v>-694.86449000000005</v>
      </c>
      <c r="F17" s="19">
        <f t="shared" si="1"/>
        <v>-847.7208856499999</v>
      </c>
      <c r="G17" s="19">
        <f t="shared" si="1"/>
        <v>-838.71278939249987</v>
      </c>
      <c r="H17" s="19">
        <f t="shared" si="1"/>
        <v>-859.21644328269724</v>
      </c>
      <c r="I17" s="19">
        <f t="shared" si="1"/>
        <v>-856.65789419628572</v>
      </c>
      <c r="J17" s="4"/>
    </row>
    <row r="18" spans="1:10" x14ac:dyDescent="0.25">
      <c r="A18" s="4"/>
      <c r="B18" s="4"/>
      <c r="C18" s="4"/>
      <c r="D18" s="4"/>
      <c r="E18" s="4"/>
      <c r="F18" s="4"/>
      <c r="G18" s="4"/>
      <c r="H18" s="4"/>
      <c r="I18" s="4"/>
      <c r="J18" s="4"/>
    </row>
    <row r="19" spans="1:10" x14ac:dyDescent="0.25">
      <c r="A19" s="10" t="s">
        <v>210</v>
      </c>
      <c r="B19" s="11"/>
      <c r="C19" s="11"/>
      <c r="D19" s="11"/>
      <c r="E19" s="11"/>
      <c r="F19" s="11"/>
      <c r="G19" s="11"/>
      <c r="H19" s="11"/>
      <c r="I19" s="11"/>
      <c r="J19" s="4"/>
    </row>
    <row r="20" spans="1:10" x14ac:dyDescent="0.25">
      <c r="A20" s="4" t="s">
        <v>211</v>
      </c>
      <c r="B20" s="17">
        <v>657</v>
      </c>
      <c r="C20" s="17">
        <v>594</v>
      </c>
      <c r="D20" s="17">
        <v>1620</v>
      </c>
      <c r="E20" s="16">
        <f>Debt!E8</f>
        <v>1879</v>
      </c>
      <c r="F20" s="16">
        <f>Debt!F8</f>
        <v>1893</v>
      </c>
      <c r="G20" s="16">
        <f>Debt!G8</f>
        <v>1679</v>
      </c>
      <c r="H20" s="16">
        <f>Debt!H8</f>
        <v>1009</v>
      </c>
      <c r="I20" s="16">
        <f>Debt!I8</f>
        <v>915</v>
      </c>
      <c r="J20" s="4"/>
    </row>
    <row r="21" spans="1:10" x14ac:dyDescent="0.25">
      <c r="A21" s="4" t="s">
        <v>212</v>
      </c>
      <c r="B21" s="17">
        <v>-848</v>
      </c>
      <c r="C21" s="17">
        <v>-618</v>
      </c>
      <c r="D21" s="17">
        <v>-678</v>
      </c>
      <c r="E21" s="16">
        <f>Debt!E7</f>
        <v>-1879</v>
      </c>
      <c r="F21" s="16">
        <f>Debt!F7</f>
        <v>-1893</v>
      </c>
      <c r="G21" s="16">
        <f>Debt!G7</f>
        <v>-1679</v>
      </c>
      <c r="H21" s="16">
        <f>Debt!H7</f>
        <v>-1009</v>
      </c>
      <c r="I21" s="16">
        <f>Debt!I7</f>
        <v>-915</v>
      </c>
      <c r="J21" s="4"/>
    </row>
    <row r="22" spans="1:10" x14ac:dyDescent="0.25">
      <c r="A22" s="4" t="s">
        <v>213</v>
      </c>
      <c r="B22" s="17">
        <v>-1965</v>
      </c>
      <c r="C22" s="17">
        <v>-1931</v>
      </c>
      <c r="D22" s="17">
        <v>-1898</v>
      </c>
      <c r="E22" s="16">
        <f>-Assumptions!E36*Assumptions!E37</f>
        <v>-1894.4</v>
      </c>
      <c r="F22" s="16">
        <f>-Assumptions!F36*Assumptions!F37</f>
        <v>-1894.4</v>
      </c>
      <c r="G22" s="16">
        <f>-Assumptions!G36*Assumptions!G37</f>
        <v>-1894.4</v>
      </c>
      <c r="H22" s="16">
        <f>-Assumptions!H36*Assumptions!H37</f>
        <v>-1894.4</v>
      </c>
      <c r="I22" s="16">
        <f>-Assumptions!I36*Assumptions!I37</f>
        <v>-1894.4</v>
      </c>
      <c r="J22" s="4"/>
    </row>
    <row r="23" spans="1:10" x14ac:dyDescent="0.25">
      <c r="A23" s="4" t="s">
        <v>214</v>
      </c>
      <c r="B23" s="17">
        <v>-455</v>
      </c>
      <c r="C23" s="17">
        <v>-988</v>
      </c>
      <c r="D23" s="17">
        <v>-436</v>
      </c>
      <c r="E23" s="16">
        <f>-Assumptions!E38</f>
        <v>-500</v>
      </c>
      <c r="F23" s="16">
        <f>-Assumptions!F38</f>
        <v>-500</v>
      </c>
      <c r="G23" s="16">
        <f>-Assumptions!G38</f>
        <v>-500</v>
      </c>
      <c r="H23" s="16">
        <f>-Assumptions!H38</f>
        <v>-500</v>
      </c>
      <c r="I23" s="16">
        <f>-Assumptions!I38</f>
        <v>-500</v>
      </c>
      <c r="J23" s="4"/>
    </row>
    <row r="24" spans="1:10" x14ac:dyDescent="0.25">
      <c r="A24" s="4" t="s">
        <v>215</v>
      </c>
      <c r="B24" s="17">
        <v>-67</v>
      </c>
      <c r="C24" s="17">
        <v>-65</v>
      </c>
      <c r="D24" s="17">
        <v>141</v>
      </c>
      <c r="E24" s="17">
        <v>0</v>
      </c>
      <c r="F24" s="17">
        <v>0</v>
      </c>
      <c r="G24" s="17">
        <v>0</v>
      </c>
      <c r="H24" s="17">
        <v>0</v>
      </c>
      <c r="I24" s="17">
        <v>0</v>
      </c>
      <c r="J24" s="4"/>
    </row>
    <row r="25" spans="1:10" x14ac:dyDescent="0.25">
      <c r="A25" s="3" t="s">
        <v>216</v>
      </c>
      <c r="B25" s="19">
        <f t="shared" ref="B25:I25" si="2">SUM(B20:B24)</f>
        <v>-2678</v>
      </c>
      <c r="C25" s="19">
        <f t="shared" si="2"/>
        <v>-3008</v>
      </c>
      <c r="D25" s="19">
        <f t="shared" si="2"/>
        <v>-1251</v>
      </c>
      <c r="E25" s="19">
        <f t="shared" si="2"/>
        <v>-2394.4</v>
      </c>
      <c r="F25" s="19">
        <f t="shared" si="2"/>
        <v>-2394.4</v>
      </c>
      <c r="G25" s="19">
        <f t="shared" si="2"/>
        <v>-2394.4</v>
      </c>
      <c r="H25" s="19">
        <f t="shared" si="2"/>
        <v>-2394.4</v>
      </c>
      <c r="I25" s="19">
        <f t="shared" si="2"/>
        <v>-2394.4</v>
      </c>
      <c r="J25" s="4"/>
    </row>
    <row r="26" spans="1:10" x14ac:dyDescent="0.25">
      <c r="A26" s="10" t="s">
        <v>217</v>
      </c>
      <c r="B26" s="11"/>
      <c r="C26" s="11"/>
      <c r="D26" s="11"/>
      <c r="E26" s="11"/>
      <c r="F26" s="11"/>
      <c r="G26" s="11"/>
      <c r="H26" s="11"/>
      <c r="I26" s="11"/>
      <c r="J26" s="4"/>
    </row>
    <row r="27" spans="1:10" x14ac:dyDescent="0.25">
      <c r="A27" s="4" t="s">
        <v>218</v>
      </c>
      <c r="B27" s="17">
        <v>991</v>
      </c>
      <c r="C27" s="17">
        <v>1181</v>
      </c>
      <c r="D27" s="17">
        <v>1334</v>
      </c>
      <c r="E27" s="16">
        <f>BS!D6</f>
        <v>2615</v>
      </c>
      <c r="F27" s="26">
        <f>E29</f>
        <v>3249.7710260102763</v>
      </c>
      <c r="G27" s="26">
        <f>F29</f>
        <v>3758.5081935378439</v>
      </c>
      <c r="H27" s="26">
        <f>G29</f>
        <v>4322.7535771106768</v>
      </c>
      <c r="I27" s="26">
        <f>H29</f>
        <v>5045.2733125288014</v>
      </c>
      <c r="J27" s="4"/>
    </row>
    <row r="28" spans="1:10" x14ac:dyDescent="0.25">
      <c r="A28" s="3" t="s">
        <v>219</v>
      </c>
      <c r="B28" s="19">
        <f t="shared" ref="B28:I28" si="3">B12+B17+B25</f>
        <v>382</v>
      </c>
      <c r="C28" s="19">
        <f t="shared" si="3"/>
        <v>153</v>
      </c>
      <c r="D28" s="19">
        <f t="shared" si="3"/>
        <v>1378</v>
      </c>
      <c r="E28" s="19">
        <f t="shared" si="3"/>
        <v>634.77102601027627</v>
      </c>
      <c r="F28" s="19">
        <f t="shared" si="3"/>
        <v>508.73716752756764</v>
      </c>
      <c r="G28" s="19">
        <f t="shared" si="3"/>
        <v>564.24538357283291</v>
      </c>
      <c r="H28" s="19">
        <f t="shared" si="3"/>
        <v>722.51973541812458</v>
      </c>
      <c r="I28" s="19">
        <f t="shared" si="3"/>
        <v>834.20472413641028</v>
      </c>
      <c r="J28" s="4"/>
    </row>
    <row r="29" spans="1:10" x14ac:dyDescent="0.25">
      <c r="A29" s="3" t="s">
        <v>220</v>
      </c>
      <c r="B29" s="28">
        <f t="shared" ref="B29:I29" si="4">B27+B28</f>
        <v>1373</v>
      </c>
      <c r="C29" s="28">
        <f t="shared" si="4"/>
        <v>1334</v>
      </c>
      <c r="D29" s="28">
        <f t="shared" si="4"/>
        <v>2712</v>
      </c>
      <c r="E29" s="28">
        <f t="shared" si="4"/>
        <v>3249.7710260102763</v>
      </c>
      <c r="F29" s="28">
        <f t="shared" si="4"/>
        <v>3758.5081935378439</v>
      </c>
      <c r="G29" s="28">
        <f t="shared" si="4"/>
        <v>4322.7535771106768</v>
      </c>
      <c r="H29" s="28">
        <f t="shared" si="4"/>
        <v>5045.2733125288014</v>
      </c>
      <c r="I29" s="28">
        <f t="shared" si="4"/>
        <v>5879.4780366652121</v>
      </c>
      <c r="J29" s="4"/>
    </row>
    <row r="30" spans="1:10" x14ac:dyDescent="0.25">
      <c r="A30" s="4"/>
      <c r="B30" s="4"/>
      <c r="C30" s="4"/>
      <c r="D30" s="4"/>
      <c r="E30" s="4"/>
      <c r="F30" s="4"/>
      <c r="G30" s="4"/>
      <c r="H30" s="4"/>
      <c r="I30" s="4"/>
      <c r="J30" s="4"/>
    </row>
    <row r="31" spans="1:10" x14ac:dyDescent="0.25">
      <c r="A31" s="4"/>
      <c r="B31" s="4"/>
      <c r="C31" s="4"/>
      <c r="D31" s="4"/>
      <c r="E31" s="4"/>
      <c r="F31" s="4"/>
      <c r="G31" s="4"/>
      <c r="H31" s="4"/>
      <c r="I31" s="4"/>
      <c r="J31" s="4"/>
    </row>
  </sheetData>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Cover</vt:lpstr>
      <vt:lpstr>Assumptions</vt:lpstr>
      <vt:lpstr>Revenue</vt:lpstr>
      <vt:lpstr>COGS</vt:lpstr>
      <vt:lpstr>OpEx</vt:lpstr>
      <vt:lpstr>NWC</vt:lpstr>
      <vt:lpstr>CapEx_DA</vt:lpstr>
      <vt:lpstr>Debt</vt:lpstr>
      <vt:lpstr>IS</vt:lpstr>
      <vt:lpstr>BS</vt:lpstr>
      <vt:lpstr>CFS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Maximiliano Ezequiel Gallego</cp:lastModifiedBy>
  <cp:revision>0</cp:revision>
  <dcterms:created xsi:type="dcterms:W3CDTF">2026-05-18T21:44:56Z</dcterms:created>
  <dcterms:modified xsi:type="dcterms:W3CDTF">2026-05-19T14:54:41Z</dcterms:modified>
  <dc:language>en-US</dc:language>
</cp:coreProperties>
</file>